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" sheetId="1" state="visible" r:id="rId1"/>
    <sheet xmlns:r="http://schemas.openxmlformats.org/officeDocument/2006/relationships" name="Kupiec" sheetId="2" state="visible" r:id="rId2"/>
    <sheet xmlns:r="http://schemas.openxmlformats.org/officeDocument/2006/relationships" name="Feux de Bâ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072B2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0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2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Classeur des tests de dépassement</t>
        </is>
      </c>
    </row>
    <row r="2">
      <c r="A2" s="2" t="inlineStr">
        <is>
          <t>Ce classeur accompagne le dépôt 06-risque-marche. Il contient deux feuilles, et dans les deux les formules sont écrites en Excel : rien n'est collé depuis Python.</t>
        </is>
      </c>
    </row>
    <row r="3">
      <c r="A3" s="2" t="inlineStr"/>
    </row>
    <row r="5">
      <c r="A5" s="1" t="inlineStr">
        <is>
          <t>Feuille « Kupiec »</t>
        </is>
      </c>
    </row>
    <row r="6">
      <c r="A6" s="2" t="inlineStr">
        <is>
          <t>Le test qui demande si un modèle annonçant un dépassement sur cent jours a bien été dépassé environ une fois sur cent.</t>
        </is>
      </c>
    </row>
    <row r="7">
      <c r="A7" s="2" t="inlineStr"/>
    </row>
    <row r="9">
      <c r="A9" s="1" t="inlineStr">
        <is>
          <t>Feuille « Feux de Bâle »</t>
        </is>
      </c>
    </row>
    <row r="10">
      <c r="A10" s="2" t="inlineStr">
        <is>
          <t>Le classement réglementaire de chaque année en vert, jaune ou rouge, selon le nombre de dépassements.</t>
        </is>
      </c>
    </row>
    <row r="11">
      <c r="A11" s="2" t="inlineStr"/>
    </row>
    <row r="13">
      <c r="A13" s="1" t="inlineStr">
        <is>
          <t>Pourquoi il n'y a pas de macro</t>
        </is>
      </c>
    </row>
    <row r="14">
      <c r="A14" s="2" t="inlineStr">
        <is>
          <t>Une macro ne se fabrique pas par script : un fichier enregistré sous l'extension des classeurs à macros ne contient aucun projet de macros, et Excel l'ouvre comme un classeur ordinaire. C'est mesuré, pas supposé.</t>
        </is>
      </c>
    </row>
    <row r="15">
      <c r="A15" s="2" t="inlineStr">
        <is>
          <t>Le même test est donc livré en Visual Basic dans le fichier vba/KupiecTest.bas du dépôt. Pour l'utiliser : ouvrir l'éditeur Visual Basic par Alt+F11, menu Fichier, Importer un fichier, choisir KupiecTest.bas. La fonction KUPIEC(jours; depassements; niveau) devient alors disponible dans les cellules.</t>
        </is>
      </c>
    </row>
    <row r="16">
      <c r="A16" s="2" t="inlineStr">
        <is>
          <t>Le classeur fonctionne entièrement sans cette macro : les formules Excel font le même calcul.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  <col width="13" customWidth="1" min="5" max="5"/>
    <col width="15" customWidth="1" min="6" max="6"/>
    <col width="15" customWidth="1" min="7" max="7"/>
    <col width="13" customWidth="1" min="8" max="8"/>
    <col width="12" customWidth="1" min="9" max="9"/>
  </cols>
  <sheetData>
    <row r="1" ht="30" customHeight="1">
      <c r="A1" s="3" t="inlineStr">
        <is>
          <t>Modèle</t>
        </is>
      </c>
      <c r="B1" s="3" t="inlineStr">
        <is>
          <t>Jours</t>
        </is>
      </c>
      <c r="C1" s="3" t="inlineStr">
        <is>
          <t>Dépassements</t>
        </is>
      </c>
      <c r="D1" s="3" t="inlineStr">
        <is>
          <t>Attendus</t>
        </is>
      </c>
      <c r="E1" s="3" t="inlineStr">
        <is>
          <t>Taux observé</t>
        </is>
      </c>
      <c r="F1" s="3" t="inlineStr">
        <is>
          <t>Vraisemblance sous le modèle</t>
        </is>
      </c>
      <c r="G1" s="3" t="inlineStr">
        <is>
          <t>Vraisemblance libre</t>
        </is>
      </c>
      <c r="H1" s="3" t="inlineStr">
        <is>
          <t>Statistique</t>
        </is>
      </c>
      <c r="I1" s="3" t="inlineStr">
        <is>
          <t>Valeur p</t>
        </is>
      </c>
      <c r="K1" s="4" t="inlineStr">
        <is>
          <t>Niveau de confiance</t>
        </is>
      </c>
      <c r="L1" s="5" t="n">
        <v>0.99</v>
      </c>
    </row>
    <row r="2">
      <c r="A2" s="6" t="inlineStr">
        <is>
          <t>historique</t>
        </is>
      </c>
      <c r="B2" s="6" t="n">
        <v>5476</v>
      </c>
      <c r="C2" s="6" t="n">
        <v>89</v>
      </c>
      <c r="D2" s="7">
        <f>B2*(1-$L$1)</f>
        <v/>
      </c>
      <c r="E2" s="8">
        <f>C2/B2</f>
        <v/>
      </c>
      <c r="F2" s="9">
        <f>(B2-C2)*LN($L$1)+C2*LN(1-$L$1)</f>
        <v/>
      </c>
      <c r="G2" s="9">
        <f>IF(C2=0,B2*LN(1-E2),(B2-C2)*LN(1-E2)+C2*LN(E2))</f>
        <v/>
      </c>
      <c r="H2" s="9">
        <f>-2*(F2-G2)</f>
        <v/>
      </c>
      <c r="I2" s="10">
        <f>CHIDIST(H2,1)</f>
        <v/>
      </c>
    </row>
    <row r="3">
      <c r="A3" s="6" t="inlineStr">
        <is>
          <t>gaussien</t>
        </is>
      </c>
      <c r="B3" s="6" t="n">
        <v>5476</v>
      </c>
      <c r="C3" s="6" t="n">
        <v>140</v>
      </c>
      <c r="D3" s="7">
        <f>B3*(1-$L$1)</f>
        <v/>
      </c>
      <c r="E3" s="8">
        <f>C3/B3</f>
        <v/>
      </c>
      <c r="F3" s="9">
        <f>(B3-C3)*LN($L$1)+C3*LN(1-$L$1)</f>
        <v/>
      </c>
      <c r="G3" s="9">
        <f>IF(C3=0,B3*LN(1-E3),(B3-C3)*LN(1-E3)+C3*LN(E3))</f>
        <v/>
      </c>
      <c r="H3" s="9">
        <f>-2*(F3-G3)</f>
        <v/>
      </c>
      <c r="I3" s="10">
        <f>CHIDIST(H3,1)</f>
        <v/>
      </c>
    </row>
    <row r="4">
      <c r="A4" s="6" t="inlineStr">
        <is>
          <t>student</t>
        </is>
      </c>
      <c r="B4" s="6" t="n">
        <v>5476</v>
      </c>
      <c r="C4" s="6" t="n">
        <v>89</v>
      </c>
      <c r="D4" s="7">
        <f>B4*(1-$L$1)</f>
        <v/>
      </c>
      <c r="E4" s="8">
        <f>C4/B4</f>
        <v/>
      </c>
      <c r="F4" s="9">
        <f>(B4-C4)*LN($L$1)+C4*LN(1-$L$1)</f>
        <v/>
      </c>
      <c r="G4" s="9">
        <f>IF(C4=0,B4*LN(1-E4),(B4-C4)*LN(1-E4)+C4*LN(E4))</f>
        <v/>
      </c>
      <c r="H4" s="9">
        <f>-2*(F4-G4)</f>
        <v/>
      </c>
      <c r="I4" s="10">
        <f>CHIDIST(H4,1)</f>
        <v/>
      </c>
    </row>
    <row r="5">
      <c r="A5" s="6" t="inlineStr">
        <is>
          <t>ewma</t>
        </is>
      </c>
      <c r="B5" s="6" t="n">
        <v>5476</v>
      </c>
      <c r="C5" s="6" t="n">
        <v>128</v>
      </c>
      <c r="D5" s="7">
        <f>B5*(1-$L$1)</f>
        <v/>
      </c>
      <c r="E5" s="8">
        <f>C5/B5</f>
        <v/>
      </c>
      <c r="F5" s="9">
        <f>(B5-C5)*LN($L$1)+C5*LN(1-$L$1)</f>
        <v/>
      </c>
      <c r="G5" s="9">
        <f>IF(C5=0,B5*LN(1-E5),(B5-C5)*LN(1-E5)+C5*LN(E5))</f>
        <v/>
      </c>
      <c r="H5" s="9">
        <f>-2*(F5-G5)</f>
        <v/>
      </c>
      <c r="I5" s="10">
        <f>CHIDIST(H5,1)</f>
        <v/>
      </c>
    </row>
    <row r="6">
      <c r="A6" s="6" t="inlineStr">
        <is>
          <t>fhs</t>
        </is>
      </c>
      <c r="B6" s="6" t="n">
        <v>5476</v>
      </c>
      <c r="C6" s="6" t="n">
        <v>69</v>
      </c>
      <c r="D6" s="7">
        <f>B6*(1-$L$1)</f>
        <v/>
      </c>
      <c r="E6" s="8">
        <f>C6/B6</f>
        <v/>
      </c>
      <c r="F6" s="9">
        <f>(B6-C6)*LN($L$1)+C6*LN(1-$L$1)</f>
        <v/>
      </c>
      <c r="G6" s="9">
        <f>IF(C6=0,B6*LN(1-E6),(B6-C6)*LN(1-E6)+C6*LN(E6))</f>
        <v/>
      </c>
      <c r="H6" s="9">
        <f>-2*(F6-G6)</f>
        <v/>
      </c>
      <c r="I6" s="10">
        <f>CHIDIST(H6,1)</f>
        <v/>
      </c>
    </row>
    <row r="7">
      <c r="A7" s="6" t="inlineStr">
        <is>
          <t>garch</t>
        </is>
      </c>
      <c r="B7" s="6" t="n">
        <v>5476</v>
      </c>
      <c r="C7" s="6" t="n">
        <v>121</v>
      </c>
      <c r="D7" s="7">
        <f>B7*(1-$L$1)</f>
        <v/>
      </c>
      <c r="E7" s="8">
        <f>C7/B7</f>
        <v/>
      </c>
      <c r="F7" s="9">
        <f>(B7-C7)*LN($L$1)+C7*LN(1-$L$1)</f>
        <v/>
      </c>
      <c r="G7" s="9">
        <f>IF(C7=0,B7*LN(1-E7),(B7-C7)*LN(1-E7)+C7*LN(E7))</f>
        <v/>
      </c>
      <c r="H7" s="9">
        <f>-2*(F7-G7)</f>
        <v/>
      </c>
      <c r="I7" s="10">
        <f>CHIDIST(H7,1)</f>
        <v/>
      </c>
    </row>
    <row r="9">
      <c r="A9" s="1" t="inlineStr">
        <is>
          <t>Comment lire cette feuille</t>
        </is>
      </c>
    </row>
    <row r="10">
      <c r="A10" s="2" t="inlineStr">
        <is>
          <t>Chaque ligne est un modèle de valeur à risque. La colonne « Dépassements » compte les jours où la perte a dépassé ce que le modèle annonçait.</t>
        </is>
      </c>
    </row>
    <row r="11">
      <c r="A11" s="2" t="inlineStr">
        <is>
          <t>La statistique compare deux vraisemblances : celle du taux promis et celle du taux réellement observé. Plus l'écart est grand, plus la statistique monte.</t>
        </is>
      </c>
    </row>
    <row r="12">
      <c r="A12" s="2" t="inlineStr">
        <is>
          <t>La valeur p est la probabilité d'observer un écart au moins aussi grand si le modèle disait vrai. Sous 5 %, le modèle est rejeté.</t>
        </is>
      </c>
    </row>
    <row r="13">
      <c r="A13" s="2" t="inlineStr">
        <is>
          <t>Changez le niveau de confiance en L1, ou le nombre de dépassements en colonne C : tout se recalcule, car rien n'est collé.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5" customWidth="1" min="4" max="4"/>
    <col width="14" customWidth="1" min="5" max="5"/>
    <col width="14" customWidth="1" min="6" max="6"/>
    <col width="12" customWidth="1" min="7" max="7"/>
  </cols>
  <sheetData>
    <row r="1" ht="30" customHeight="1">
      <c r="A1" s="3" t="inlineStr">
        <is>
          <t>Année</t>
        </is>
      </c>
      <c r="B1" s="3" t="inlineStr">
        <is>
          <t>Modèle</t>
        </is>
      </c>
      <c r="C1" s="3" t="inlineStr">
        <is>
          <t>Jours</t>
        </is>
      </c>
      <c r="D1" s="3" t="inlineStr">
        <is>
          <t>Dépassements</t>
        </is>
      </c>
      <c r="E1" s="3" t="inlineStr">
        <is>
          <t>Seuil jaune</t>
        </is>
      </c>
      <c r="F1" s="3" t="inlineStr">
        <is>
          <t>Seuil rouge</t>
        </is>
      </c>
      <c r="G1" s="3" t="inlineStr">
        <is>
          <t>Zone</t>
        </is>
      </c>
      <c r="I1" s="4" t="inlineStr">
        <is>
          <t>Seuil jaune sur 250 jours</t>
        </is>
      </c>
      <c r="J1" t="n">
        <v>5</v>
      </c>
    </row>
    <row r="2">
      <c r="A2" t="n">
        <v>2004</v>
      </c>
      <c r="B2" t="inlineStr">
        <is>
          <t>historique</t>
        </is>
      </c>
      <c r="C2" t="n">
        <v>39</v>
      </c>
      <c r="D2" t="n">
        <v>0</v>
      </c>
      <c r="E2" s="11">
        <f>$J$1*C2/250</f>
        <v/>
      </c>
      <c r="F2" s="11">
        <f>$J$2*C2/250</f>
        <v/>
      </c>
      <c r="G2">
        <f>IF(D2&gt;=F2,"rouge",IF(D2&gt;=E2,"jaune","vert"))</f>
        <v/>
      </c>
      <c r="I2" s="4" t="inlineStr">
        <is>
          <t>Seuil rouge sur 250 jours</t>
        </is>
      </c>
      <c r="J2" t="n">
        <v>10</v>
      </c>
    </row>
    <row r="3">
      <c r="A3" t="n">
        <v>2005</v>
      </c>
      <c r="B3" t="inlineStr">
        <is>
          <t>historique</t>
        </is>
      </c>
      <c r="C3" t="n">
        <v>251</v>
      </c>
      <c r="D3" t="n">
        <v>1</v>
      </c>
      <c r="E3" s="11">
        <f>$J$1*C3/250</f>
        <v/>
      </c>
      <c r="F3" s="11">
        <f>$J$2*C3/250</f>
        <v/>
      </c>
      <c r="G3">
        <f>IF(D3&gt;=F3,"rouge",IF(D3&gt;=E3,"jaune","vert"))</f>
        <v/>
      </c>
    </row>
    <row r="4">
      <c r="A4" t="n">
        <v>2006</v>
      </c>
      <c r="B4" t="inlineStr">
        <is>
          <t>historique</t>
        </is>
      </c>
      <c r="C4" t="n">
        <v>251</v>
      </c>
      <c r="D4" t="n">
        <v>4</v>
      </c>
      <c r="E4" s="11">
        <f>$J$1*C4/250</f>
        <v/>
      </c>
      <c r="F4" s="11">
        <f>$J$2*C4/250</f>
        <v/>
      </c>
      <c r="G4">
        <f>IF(D4&gt;=F4,"rouge",IF(D4&gt;=E4,"jaune","vert"))</f>
        <v/>
      </c>
    </row>
    <row r="5">
      <c r="A5" t="n">
        <v>2007</v>
      </c>
      <c r="B5" t="inlineStr">
        <is>
          <t>historique</t>
        </is>
      </c>
      <c r="C5" t="n">
        <v>252</v>
      </c>
      <c r="D5" t="n">
        <v>8</v>
      </c>
      <c r="E5" s="11">
        <f>$J$1*C5/250</f>
        <v/>
      </c>
      <c r="F5" s="11">
        <f>$J$2*C5/250</f>
        <v/>
      </c>
      <c r="G5">
        <f>IF(D5&gt;=F5,"rouge",IF(D5&gt;=E5,"jaune","vert"))</f>
        <v/>
      </c>
    </row>
    <row r="6">
      <c r="A6" t="n">
        <v>2008</v>
      </c>
      <c r="B6" t="inlineStr">
        <is>
          <t>historique</t>
        </is>
      </c>
      <c r="C6" t="n">
        <v>252</v>
      </c>
      <c r="D6" t="n">
        <v>22</v>
      </c>
      <c r="E6" s="11">
        <f>$J$1*C6/250</f>
        <v/>
      </c>
      <c r="F6" s="11">
        <f>$J$2*C6/250</f>
        <v/>
      </c>
      <c r="G6">
        <f>IF(D6&gt;=F6,"rouge",IF(D6&gt;=E6,"jaune","vert"))</f>
        <v/>
      </c>
    </row>
    <row r="7">
      <c r="A7" t="n">
        <v>2009</v>
      </c>
      <c r="B7" t="inlineStr">
        <is>
          <t>historique</t>
        </is>
      </c>
      <c r="C7" t="n">
        <v>251</v>
      </c>
      <c r="D7" t="n">
        <v>0</v>
      </c>
      <c r="E7" s="11">
        <f>$J$1*C7/250</f>
        <v/>
      </c>
      <c r="F7" s="11">
        <f>$J$2*C7/250</f>
        <v/>
      </c>
      <c r="G7">
        <f>IF(D7&gt;=F7,"rouge",IF(D7&gt;=E7,"jaune","vert"))</f>
        <v/>
      </c>
    </row>
    <row r="8">
      <c r="A8" t="n">
        <v>2010</v>
      </c>
      <c r="B8" t="inlineStr">
        <is>
          <t>historique</t>
        </is>
      </c>
      <c r="C8" t="n">
        <v>251</v>
      </c>
      <c r="D8" t="n">
        <v>0</v>
      </c>
      <c r="E8" s="11">
        <f>$J$1*C8/250</f>
        <v/>
      </c>
      <c r="F8" s="11">
        <f>$J$2*C8/250</f>
        <v/>
      </c>
      <c r="G8">
        <f>IF(D8&gt;=F8,"rouge",IF(D8&gt;=E8,"jaune","vert"))</f>
        <v/>
      </c>
    </row>
    <row r="9">
      <c r="A9" t="n">
        <v>2011</v>
      </c>
      <c r="B9" t="inlineStr">
        <is>
          <t>historique</t>
        </is>
      </c>
      <c r="C9" t="n">
        <v>250</v>
      </c>
      <c r="D9" t="n">
        <v>5</v>
      </c>
      <c r="E9" s="11">
        <f>$J$1*C9/250</f>
        <v/>
      </c>
      <c r="F9" s="11">
        <f>$J$2*C9/250</f>
        <v/>
      </c>
      <c r="G9">
        <f>IF(D9&gt;=F9,"rouge",IF(D9&gt;=E9,"jaune","vert"))</f>
        <v/>
      </c>
    </row>
    <row r="10">
      <c r="A10" t="n">
        <v>2012</v>
      </c>
      <c r="B10" t="inlineStr">
        <is>
          <t>historique</t>
        </is>
      </c>
      <c r="C10" t="n">
        <v>251</v>
      </c>
      <c r="D10" t="n">
        <v>0</v>
      </c>
      <c r="E10" s="11">
        <f>$J$1*C10/250</f>
        <v/>
      </c>
      <c r="F10" s="11">
        <f>$J$2*C10/250</f>
        <v/>
      </c>
      <c r="G10">
        <f>IF(D10&gt;=F10,"rouge",IF(D10&gt;=E10,"jaune","vert"))</f>
        <v/>
      </c>
    </row>
    <row r="11">
      <c r="A11" t="n">
        <v>2013</v>
      </c>
      <c r="B11" t="inlineStr">
        <is>
          <t>historique</t>
        </is>
      </c>
      <c r="C11" t="n">
        <v>251</v>
      </c>
      <c r="D11" t="n">
        <v>1</v>
      </c>
      <c r="E11" s="11">
        <f>$J$1*C11/250</f>
        <v/>
      </c>
      <c r="F11" s="11">
        <f>$J$2*C11/250</f>
        <v/>
      </c>
      <c r="G11">
        <f>IF(D11&gt;=F11,"rouge",IF(D11&gt;=E11,"jaune","vert"))</f>
        <v/>
      </c>
    </row>
    <row r="12">
      <c r="A12" t="n">
        <v>2014</v>
      </c>
      <c r="B12" t="inlineStr">
        <is>
          <t>historique</t>
        </is>
      </c>
      <c r="C12" t="n">
        <v>251</v>
      </c>
      <c r="D12" t="n">
        <v>5</v>
      </c>
      <c r="E12" s="11">
        <f>$J$1*C12/250</f>
        <v/>
      </c>
      <c r="F12" s="11">
        <f>$J$2*C12/250</f>
        <v/>
      </c>
      <c r="G12">
        <f>IF(D12&gt;=F12,"rouge",IF(D12&gt;=E12,"jaune","vert"))</f>
        <v/>
      </c>
    </row>
    <row r="13">
      <c r="A13" t="n">
        <v>2015</v>
      </c>
      <c r="B13" t="inlineStr">
        <is>
          <t>historique</t>
        </is>
      </c>
      <c r="C13" t="n">
        <v>251</v>
      </c>
      <c r="D13" t="n">
        <v>7</v>
      </c>
      <c r="E13" s="11">
        <f>$J$1*C13/250</f>
        <v/>
      </c>
      <c r="F13" s="11">
        <f>$J$2*C13/250</f>
        <v/>
      </c>
      <c r="G13">
        <f>IF(D13&gt;=F13,"rouge",IF(D13&gt;=E13,"jaune","vert"))</f>
        <v/>
      </c>
    </row>
    <row r="14">
      <c r="A14" t="n">
        <v>2016</v>
      </c>
      <c r="B14" t="inlineStr">
        <is>
          <t>historique</t>
        </is>
      </c>
      <c r="C14" t="n">
        <v>251</v>
      </c>
      <c r="D14" t="n">
        <v>3</v>
      </c>
      <c r="E14" s="11">
        <f>$J$1*C14/250</f>
        <v/>
      </c>
      <c r="F14" s="11">
        <f>$J$2*C14/250</f>
        <v/>
      </c>
      <c r="G14">
        <f>IF(D14&gt;=F14,"rouge",IF(D14&gt;=E14,"jaune","vert"))</f>
        <v/>
      </c>
    </row>
    <row r="15">
      <c r="A15" t="n">
        <v>2017</v>
      </c>
      <c r="B15" t="inlineStr">
        <is>
          <t>historique</t>
        </is>
      </c>
      <c r="C15" t="n">
        <v>250</v>
      </c>
      <c r="D15" t="n">
        <v>0</v>
      </c>
      <c r="E15" s="11">
        <f>$J$1*C15/250</f>
        <v/>
      </c>
      <c r="F15" s="11">
        <f>$J$2*C15/250</f>
        <v/>
      </c>
      <c r="G15">
        <f>IF(D15&gt;=F15,"rouge",IF(D15&gt;=E15,"jaune","vert"))</f>
        <v/>
      </c>
    </row>
    <row r="16">
      <c r="A16" t="n">
        <v>2018</v>
      </c>
      <c r="B16" t="inlineStr">
        <is>
          <t>historique</t>
        </is>
      </c>
      <c r="C16" t="n">
        <v>251</v>
      </c>
      <c r="D16" t="n">
        <v>8</v>
      </c>
      <c r="E16" s="11">
        <f>$J$1*C16/250</f>
        <v/>
      </c>
      <c r="F16" s="11">
        <f>$J$2*C16/250</f>
        <v/>
      </c>
      <c r="G16">
        <f>IF(D16&gt;=F16,"rouge",IF(D16&gt;=E16,"jaune","vert"))</f>
        <v/>
      </c>
    </row>
    <row r="17">
      <c r="A17" t="n">
        <v>2019</v>
      </c>
      <c r="B17" t="inlineStr">
        <is>
          <t>historique</t>
        </is>
      </c>
      <c r="C17" t="n">
        <v>251</v>
      </c>
      <c r="D17" t="n">
        <v>1</v>
      </c>
      <c r="E17" s="11">
        <f>$J$1*C17/250</f>
        <v/>
      </c>
      <c r="F17" s="11">
        <f>$J$2*C17/250</f>
        <v/>
      </c>
      <c r="G17">
        <f>IF(D17&gt;=F17,"rouge",IF(D17&gt;=E17,"jaune","vert"))</f>
        <v/>
      </c>
    </row>
    <row r="18">
      <c r="A18" t="n">
        <v>2020</v>
      </c>
      <c r="B18" t="inlineStr">
        <is>
          <t>historique</t>
        </is>
      </c>
      <c r="C18" t="n">
        <v>252</v>
      </c>
      <c r="D18" t="n">
        <v>10</v>
      </c>
      <c r="E18" s="11">
        <f>$J$1*C18/250</f>
        <v/>
      </c>
      <c r="F18" s="11">
        <f>$J$2*C18/250</f>
        <v/>
      </c>
      <c r="G18">
        <f>IF(D18&gt;=F18,"rouge",IF(D18&gt;=E18,"jaune","vert"))</f>
        <v/>
      </c>
    </row>
    <row r="19">
      <c r="A19" t="n">
        <v>2021</v>
      </c>
      <c r="B19" t="inlineStr">
        <is>
          <t>historique</t>
        </is>
      </c>
      <c r="C19" t="n">
        <v>251</v>
      </c>
      <c r="D19" t="n">
        <v>0</v>
      </c>
      <c r="E19" s="11">
        <f>$J$1*C19/250</f>
        <v/>
      </c>
      <c r="F19" s="11">
        <f>$J$2*C19/250</f>
        <v/>
      </c>
      <c r="G19">
        <f>IF(D19&gt;=F19,"rouge",IF(D19&gt;=E19,"jaune","vert"))</f>
        <v/>
      </c>
    </row>
    <row r="20">
      <c r="A20" t="n">
        <v>2022</v>
      </c>
      <c r="B20" t="inlineStr">
        <is>
          <t>historique</t>
        </is>
      </c>
      <c r="C20" t="n">
        <v>250</v>
      </c>
      <c r="D20" t="n">
        <v>7</v>
      </c>
      <c r="E20" s="11">
        <f>$J$1*C20/250</f>
        <v/>
      </c>
      <c r="F20" s="11">
        <f>$J$2*C20/250</f>
        <v/>
      </c>
      <c r="G20">
        <f>IF(D20&gt;=F20,"rouge",IF(D20&gt;=E20,"jaune","vert"))</f>
        <v/>
      </c>
    </row>
    <row r="21">
      <c r="A21" t="n">
        <v>2023</v>
      </c>
      <c r="B21" t="inlineStr">
        <is>
          <t>historique</t>
        </is>
      </c>
      <c r="C21" t="n">
        <v>250</v>
      </c>
      <c r="D21" t="n">
        <v>0</v>
      </c>
      <c r="E21" s="11">
        <f>$J$1*C21/250</f>
        <v/>
      </c>
      <c r="F21" s="11">
        <f>$J$2*C21/250</f>
        <v/>
      </c>
      <c r="G21">
        <f>IF(D21&gt;=F21,"rouge",IF(D21&gt;=E21,"jaune","vert"))</f>
        <v/>
      </c>
    </row>
    <row r="22">
      <c r="A22" t="n">
        <v>2024</v>
      </c>
      <c r="B22" t="inlineStr">
        <is>
          <t>historique</t>
        </is>
      </c>
      <c r="C22" t="n">
        <v>252</v>
      </c>
      <c r="D22" t="n">
        <v>1</v>
      </c>
      <c r="E22" s="11">
        <f>$J$1*C22/250</f>
        <v/>
      </c>
      <c r="F22" s="11">
        <f>$J$2*C22/250</f>
        <v/>
      </c>
      <c r="G22">
        <f>IF(D22&gt;=F22,"rouge",IF(D22&gt;=E22,"jaune","vert"))</f>
        <v/>
      </c>
    </row>
    <row r="23">
      <c r="A23" t="n">
        <v>2025</v>
      </c>
      <c r="B23" t="inlineStr">
        <is>
          <t>historique</t>
        </is>
      </c>
      <c r="C23" t="n">
        <v>251</v>
      </c>
      <c r="D23" t="n">
        <v>4</v>
      </c>
      <c r="E23" s="11">
        <f>$J$1*C23/250</f>
        <v/>
      </c>
      <c r="F23" s="11">
        <f>$J$2*C23/250</f>
        <v/>
      </c>
      <c r="G23">
        <f>IF(D23&gt;=F23,"rouge",IF(D23&gt;=E23,"jaune","vert"))</f>
        <v/>
      </c>
    </row>
    <row r="24">
      <c r="A24" t="n">
        <v>2026</v>
      </c>
      <c r="B24" t="inlineStr">
        <is>
          <t>historique</t>
        </is>
      </c>
      <c r="C24" t="n">
        <v>166</v>
      </c>
      <c r="D24" t="n">
        <v>2</v>
      </c>
      <c r="E24" s="11">
        <f>$J$1*C24/250</f>
        <v/>
      </c>
      <c r="F24" s="11">
        <f>$J$2*C24/250</f>
        <v/>
      </c>
      <c r="G24">
        <f>IF(D24&gt;=F24,"rouge",IF(D24&gt;=E24,"jaune","vert"))</f>
        <v/>
      </c>
    </row>
    <row r="25">
      <c r="A25" t="n">
        <v>2004</v>
      </c>
      <c r="B25" t="inlineStr">
        <is>
          <t>gaussien</t>
        </is>
      </c>
      <c r="C25" t="n">
        <v>39</v>
      </c>
      <c r="D25" t="n">
        <v>1</v>
      </c>
      <c r="E25" s="11">
        <f>$J$1*C25/250</f>
        <v/>
      </c>
      <c r="F25" s="11">
        <f>$J$2*C25/250</f>
        <v/>
      </c>
      <c r="G25">
        <f>IF(D25&gt;=F25,"rouge",IF(D25&gt;=E25,"jaune","vert"))</f>
        <v/>
      </c>
    </row>
    <row r="26">
      <c r="A26" t="n">
        <v>2005</v>
      </c>
      <c r="B26" t="inlineStr">
        <is>
          <t>gaussien</t>
        </is>
      </c>
      <c r="C26" t="n">
        <v>251</v>
      </c>
      <c r="D26" t="n">
        <v>2</v>
      </c>
      <c r="E26" s="11">
        <f>$J$1*C26/250</f>
        <v/>
      </c>
      <c r="F26" s="11">
        <f>$J$2*C26/250</f>
        <v/>
      </c>
      <c r="G26">
        <f>IF(D26&gt;=F26,"rouge",IF(D26&gt;=E26,"jaune","vert"))</f>
        <v/>
      </c>
    </row>
    <row r="27">
      <c r="A27" t="n">
        <v>2006</v>
      </c>
      <c r="B27" t="inlineStr">
        <is>
          <t>gaussien</t>
        </is>
      </c>
      <c r="C27" t="n">
        <v>251</v>
      </c>
      <c r="D27" t="n">
        <v>6</v>
      </c>
      <c r="E27" s="11">
        <f>$J$1*C27/250</f>
        <v/>
      </c>
      <c r="F27" s="11">
        <f>$J$2*C27/250</f>
        <v/>
      </c>
      <c r="G27">
        <f>IF(D27&gt;=F27,"rouge",IF(D27&gt;=E27,"jaune","vert"))</f>
        <v/>
      </c>
    </row>
    <row r="28">
      <c r="A28" t="n">
        <v>2007</v>
      </c>
      <c r="B28" t="inlineStr">
        <is>
          <t>gaussien</t>
        </is>
      </c>
      <c r="C28" t="n">
        <v>252</v>
      </c>
      <c r="D28" t="n">
        <v>13</v>
      </c>
      <c r="E28" s="11">
        <f>$J$1*C28/250</f>
        <v/>
      </c>
      <c r="F28" s="11">
        <f>$J$2*C28/250</f>
        <v/>
      </c>
      <c r="G28">
        <f>IF(D28&gt;=F28,"rouge",IF(D28&gt;=E28,"jaune","vert"))</f>
        <v/>
      </c>
    </row>
    <row r="29">
      <c r="A29" t="n">
        <v>2008</v>
      </c>
      <c r="B29" t="inlineStr">
        <is>
          <t>gaussien</t>
        </is>
      </c>
      <c r="C29" t="n">
        <v>252</v>
      </c>
      <c r="D29" t="n">
        <v>29</v>
      </c>
      <c r="E29" s="11">
        <f>$J$1*C29/250</f>
        <v/>
      </c>
      <c r="F29" s="11">
        <f>$J$2*C29/250</f>
        <v/>
      </c>
      <c r="G29">
        <f>IF(D29&gt;=F29,"rouge",IF(D29&gt;=E29,"jaune","vert"))</f>
        <v/>
      </c>
    </row>
    <row r="30">
      <c r="A30" t="n">
        <v>2009</v>
      </c>
      <c r="B30" t="inlineStr">
        <is>
          <t>gaussien</t>
        </is>
      </c>
      <c r="C30" t="n">
        <v>251</v>
      </c>
      <c r="D30" t="n">
        <v>2</v>
      </c>
      <c r="E30" s="11">
        <f>$J$1*C30/250</f>
        <v/>
      </c>
      <c r="F30" s="11">
        <f>$J$2*C30/250</f>
        <v/>
      </c>
      <c r="G30">
        <f>IF(D30&gt;=F30,"rouge",IF(D30&gt;=E30,"jaune","vert"))</f>
        <v/>
      </c>
    </row>
    <row r="31">
      <c r="A31" t="n">
        <v>2010</v>
      </c>
      <c r="B31" t="inlineStr">
        <is>
          <t>gaussien</t>
        </is>
      </c>
      <c r="C31" t="n">
        <v>251</v>
      </c>
      <c r="D31" t="n">
        <v>0</v>
      </c>
      <c r="E31" s="11">
        <f>$J$1*C31/250</f>
        <v/>
      </c>
      <c r="F31" s="11">
        <f>$J$2*C31/250</f>
        <v/>
      </c>
      <c r="G31">
        <f>IF(D31&gt;=F31,"rouge",IF(D31&gt;=E31,"jaune","vert"))</f>
        <v/>
      </c>
    </row>
    <row r="32">
      <c r="A32" t="n">
        <v>2011</v>
      </c>
      <c r="B32" t="inlineStr">
        <is>
          <t>gaussien</t>
        </is>
      </c>
      <c r="C32" t="n">
        <v>250</v>
      </c>
      <c r="D32" t="n">
        <v>7</v>
      </c>
      <c r="E32" s="11">
        <f>$J$1*C32/250</f>
        <v/>
      </c>
      <c r="F32" s="11">
        <f>$J$2*C32/250</f>
        <v/>
      </c>
      <c r="G32">
        <f>IF(D32&gt;=F32,"rouge",IF(D32&gt;=E32,"jaune","vert"))</f>
        <v/>
      </c>
    </row>
    <row r="33">
      <c r="A33" t="n">
        <v>2012</v>
      </c>
      <c r="B33" t="inlineStr">
        <is>
          <t>gaussien</t>
        </is>
      </c>
      <c r="C33" t="n">
        <v>251</v>
      </c>
      <c r="D33" t="n">
        <v>0</v>
      </c>
      <c r="E33" s="11">
        <f>$J$1*C33/250</f>
        <v/>
      </c>
      <c r="F33" s="11">
        <f>$J$2*C33/250</f>
        <v/>
      </c>
      <c r="G33">
        <f>IF(D33&gt;=F33,"rouge",IF(D33&gt;=E33,"jaune","vert"))</f>
        <v/>
      </c>
    </row>
    <row r="34">
      <c r="A34" t="n">
        <v>2013</v>
      </c>
      <c r="B34" t="inlineStr">
        <is>
          <t>gaussien</t>
        </is>
      </c>
      <c r="C34" t="n">
        <v>251</v>
      </c>
      <c r="D34" t="n">
        <v>1</v>
      </c>
      <c r="E34" s="11">
        <f>$J$1*C34/250</f>
        <v/>
      </c>
      <c r="F34" s="11">
        <f>$J$2*C34/250</f>
        <v/>
      </c>
      <c r="G34">
        <f>IF(D34&gt;=F34,"rouge",IF(D34&gt;=E34,"jaune","vert"))</f>
        <v/>
      </c>
    </row>
    <row r="35">
      <c r="A35" t="n">
        <v>2014</v>
      </c>
      <c r="B35" t="inlineStr">
        <is>
          <t>gaussien</t>
        </is>
      </c>
      <c r="C35" t="n">
        <v>251</v>
      </c>
      <c r="D35" t="n">
        <v>7</v>
      </c>
      <c r="E35" s="11">
        <f>$J$1*C35/250</f>
        <v/>
      </c>
      <c r="F35" s="11">
        <f>$J$2*C35/250</f>
        <v/>
      </c>
      <c r="G35">
        <f>IF(D35&gt;=F35,"rouge",IF(D35&gt;=E35,"jaune","vert"))</f>
        <v/>
      </c>
    </row>
    <row r="36">
      <c r="A36" t="n">
        <v>2015</v>
      </c>
      <c r="B36" t="inlineStr">
        <is>
          <t>gaussien</t>
        </is>
      </c>
      <c r="C36" t="n">
        <v>251</v>
      </c>
      <c r="D36" t="n">
        <v>11</v>
      </c>
      <c r="E36" s="11">
        <f>$J$1*C36/250</f>
        <v/>
      </c>
      <c r="F36" s="11">
        <f>$J$2*C36/250</f>
        <v/>
      </c>
      <c r="G36">
        <f>IF(D36&gt;=F36,"rouge",IF(D36&gt;=E36,"jaune","vert"))</f>
        <v/>
      </c>
    </row>
    <row r="37">
      <c r="A37" t="n">
        <v>2016</v>
      </c>
      <c r="B37" t="inlineStr">
        <is>
          <t>gaussien</t>
        </is>
      </c>
      <c r="C37" t="n">
        <v>251</v>
      </c>
      <c r="D37" t="n">
        <v>5</v>
      </c>
      <c r="E37" s="11">
        <f>$J$1*C37/250</f>
        <v/>
      </c>
      <c r="F37" s="11">
        <f>$J$2*C37/250</f>
        <v/>
      </c>
      <c r="G37">
        <f>IF(D37&gt;=F37,"rouge",IF(D37&gt;=E37,"jaune","vert"))</f>
        <v/>
      </c>
    </row>
    <row r="38">
      <c r="A38" t="n">
        <v>2017</v>
      </c>
      <c r="B38" t="inlineStr">
        <is>
          <t>gaussien</t>
        </is>
      </c>
      <c r="C38" t="n">
        <v>250</v>
      </c>
      <c r="D38" t="n">
        <v>0</v>
      </c>
      <c r="E38" s="11">
        <f>$J$1*C38/250</f>
        <v/>
      </c>
      <c r="F38" s="11">
        <f>$J$2*C38/250</f>
        <v/>
      </c>
      <c r="G38">
        <f>IF(D38&gt;=F38,"rouge",IF(D38&gt;=E38,"jaune","vert"))</f>
        <v/>
      </c>
    </row>
    <row r="39">
      <c r="A39" t="n">
        <v>2018</v>
      </c>
      <c r="B39" t="inlineStr">
        <is>
          <t>gaussien</t>
        </is>
      </c>
      <c r="C39" t="n">
        <v>251</v>
      </c>
      <c r="D39" t="n">
        <v>17</v>
      </c>
      <c r="E39" s="11">
        <f>$J$1*C39/250</f>
        <v/>
      </c>
      <c r="F39" s="11">
        <f>$J$2*C39/250</f>
        <v/>
      </c>
      <c r="G39">
        <f>IF(D39&gt;=F39,"rouge",IF(D39&gt;=E39,"jaune","vert"))</f>
        <v/>
      </c>
    </row>
    <row r="40">
      <c r="A40" t="n">
        <v>2019</v>
      </c>
      <c r="B40" t="inlineStr">
        <is>
          <t>gaussien</t>
        </is>
      </c>
      <c r="C40" t="n">
        <v>251</v>
      </c>
      <c r="D40" t="n">
        <v>2</v>
      </c>
      <c r="E40" s="11">
        <f>$J$1*C40/250</f>
        <v/>
      </c>
      <c r="F40" s="11">
        <f>$J$2*C40/250</f>
        <v/>
      </c>
      <c r="G40">
        <f>IF(D40&gt;=F40,"rouge",IF(D40&gt;=E40,"jaune","vert"))</f>
        <v/>
      </c>
    </row>
    <row r="41">
      <c r="A41" t="n">
        <v>2020</v>
      </c>
      <c r="B41" t="inlineStr">
        <is>
          <t>gaussien</t>
        </is>
      </c>
      <c r="C41" t="n">
        <v>252</v>
      </c>
      <c r="D41" t="n">
        <v>13</v>
      </c>
      <c r="E41" s="11">
        <f>$J$1*C41/250</f>
        <v/>
      </c>
      <c r="F41" s="11">
        <f>$J$2*C41/250</f>
        <v/>
      </c>
      <c r="G41">
        <f>IF(D41&gt;=F41,"rouge",IF(D41&gt;=E41,"jaune","vert"))</f>
        <v/>
      </c>
    </row>
    <row r="42">
      <c r="A42" t="n">
        <v>2021</v>
      </c>
      <c r="B42" t="inlineStr">
        <is>
          <t>gaussien</t>
        </is>
      </c>
      <c r="C42" t="n">
        <v>251</v>
      </c>
      <c r="D42" t="n">
        <v>0</v>
      </c>
      <c r="E42" s="11">
        <f>$J$1*C42/250</f>
        <v/>
      </c>
      <c r="F42" s="11">
        <f>$J$2*C42/250</f>
        <v/>
      </c>
      <c r="G42">
        <f>IF(D42&gt;=F42,"rouge",IF(D42&gt;=E42,"jaune","vert"))</f>
        <v/>
      </c>
    </row>
    <row r="43">
      <c r="A43" t="n">
        <v>2022</v>
      </c>
      <c r="B43" t="inlineStr">
        <is>
          <t>gaussien</t>
        </is>
      </c>
      <c r="C43" t="n">
        <v>250</v>
      </c>
      <c r="D43" t="n">
        <v>13</v>
      </c>
      <c r="E43" s="11">
        <f>$J$1*C43/250</f>
        <v/>
      </c>
      <c r="F43" s="11">
        <f>$J$2*C43/250</f>
        <v/>
      </c>
      <c r="G43">
        <f>IF(D43&gt;=F43,"rouge",IF(D43&gt;=E43,"jaune","vert"))</f>
        <v/>
      </c>
    </row>
    <row r="44">
      <c r="A44" t="n">
        <v>2023</v>
      </c>
      <c r="B44" t="inlineStr">
        <is>
          <t>gaussien</t>
        </is>
      </c>
      <c r="C44" t="n">
        <v>250</v>
      </c>
      <c r="D44" t="n">
        <v>0</v>
      </c>
      <c r="E44" s="11">
        <f>$J$1*C44/250</f>
        <v/>
      </c>
      <c r="F44" s="11">
        <f>$J$2*C44/250</f>
        <v/>
      </c>
      <c r="G44">
        <f>IF(D44&gt;=F44,"rouge",IF(D44&gt;=E44,"jaune","vert"))</f>
        <v/>
      </c>
    </row>
    <row r="45">
      <c r="A45" t="n">
        <v>2024</v>
      </c>
      <c r="B45" t="inlineStr">
        <is>
          <t>gaussien</t>
        </is>
      </c>
      <c r="C45" t="n">
        <v>252</v>
      </c>
      <c r="D45" t="n">
        <v>1</v>
      </c>
      <c r="E45" s="11">
        <f>$J$1*C45/250</f>
        <v/>
      </c>
      <c r="F45" s="11">
        <f>$J$2*C45/250</f>
        <v/>
      </c>
      <c r="G45">
        <f>IF(D45&gt;=F45,"rouge",IF(D45&gt;=E45,"jaune","vert"))</f>
        <v/>
      </c>
    </row>
    <row r="46">
      <c r="A46" t="n">
        <v>2025</v>
      </c>
      <c r="B46" t="inlineStr">
        <is>
          <t>gaussien</t>
        </is>
      </c>
      <c r="C46" t="n">
        <v>251</v>
      </c>
      <c r="D46" t="n">
        <v>7</v>
      </c>
      <c r="E46" s="11">
        <f>$J$1*C46/250</f>
        <v/>
      </c>
      <c r="F46" s="11">
        <f>$J$2*C46/250</f>
        <v/>
      </c>
      <c r="G46">
        <f>IF(D46&gt;=F46,"rouge",IF(D46&gt;=E46,"jaune","vert"))</f>
        <v/>
      </c>
    </row>
    <row r="47">
      <c r="A47" t="n">
        <v>2026</v>
      </c>
      <c r="B47" t="inlineStr">
        <is>
          <t>gaussien</t>
        </is>
      </c>
      <c r="C47" t="n">
        <v>166</v>
      </c>
      <c r="D47" t="n">
        <v>3</v>
      </c>
      <c r="E47" s="11">
        <f>$J$1*C47/250</f>
        <v/>
      </c>
      <c r="F47" s="11">
        <f>$J$2*C47/250</f>
        <v/>
      </c>
      <c r="G47">
        <f>IF(D47&gt;=F47,"rouge",IF(D47&gt;=E47,"jaune","vert"))</f>
        <v/>
      </c>
    </row>
    <row r="48">
      <c r="A48" t="n">
        <v>2004</v>
      </c>
      <c r="B48" t="inlineStr">
        <is>
          <t>student</t>
        </is>
      </c>
      <c r="C48" t="n">
        <v>39</v>
      </c>
      <c r="D48" t="n">
        <v>0</v>
      </c>
      <c r="E48" s="11">
        <f>$J$1*C48/250</f>
        <v/>
      </c>
      <c r="F48" s="11">
        <f>$J$2*C48/250</f>
        <v/>
      </c>
      <c r="G48">
        <f>IF(D48&gt;=F48,"rouge",IF(D48&gt;=E48,"jaune","vert"))</f>
        <v/>
      </c>
    </row>
    <row r="49">
      <c r="A49" t="n">
        <v>2005</v>
      </c>
      <c r="B49" t="inlineStr">
        <is>
          <t>student</t>
        </is>
      </c>
      <c r="C49" t="n">
        <v>251</v>
      </c>
      <c r="D49" t="n">
        <v>2</v>
      </c>
      <c r="E49" s="11">
        <f>$J$1*C49/250</f>
        <v/>
      </c>
      <c r="F49" s="11">
        <f>$J$2*C49/250</f>
        <v/>
      </c>
      <c r="G49">
        <f>IF(D49&gt;=F49,"rouge",IF(D49&gt;=E49,"jaune","vert"))</f>
        <v/>
      </c>
    </row>
    <row r="50">
      <c r="A50" t="n">
        <v>2006</v>
      </c>
      <c r="B50" t="inlineStr">
        <is>
          <t>student</t>
        </is>
      </c>
      <c r="C50" t="n">
        <v>251</v>
      </c>
      <c r="D50" t="n">
        <v>4</v>
      </c>
      <c r="E50" s="11">
        <f>$J$1*C50/250</f>
        <v/>
      </c>
      <c r="F50" s="11">
        <f>$J$2*C50/250</f>
        <v/>
      </c>
      <c r="G50">
        <f>IF(D50&gt;=F50,"rouge",IF(D50&gt;=E50,"jaune","vert"))</f>
        <v/>
      </c>
    </row>
    <row r="51">
      <c r="A51" t="n">
        <v>2007</v>
      </c>
      <c r="B51" t="inlineStr">
        <is>
          <t>student</t>
        </is>
      </c>
      <c r="C51" t="n">
        <v>252</v>
      </c>
      <c r="D51" t="n">
        <v>9</v>
      </c>
      <c r="E51" s="11">
        <f>$J$1*C51/250</f>
        <v/>
      </c>
      <c r="F51" s="11">
        <f>$J$2*C51/250</f>
        <v/>
      </c>
      <c r="G51">
        <f>IF(D51&gt;=F51,"rouge",IF(D51&gt;=E51,"jaune","vert"))</f>
        <v/>
      </c>
    </row>
    <row r="52">
      <c r="A52" t="n">
        <v>2008</v>
      </c>
      <c r="B52" t="inlineStr">
        <is>
          <t>student</t>
        </is>
      </c>
      <c r="C52" t="n">
        <v>252</v>
      </c>
      <c r="D52" t="n">
        <v>21</v>
      </c>
      <c r="E52" s="11">
        <f>$J$1*C52/250</f>
        <v/>
      </c>
      <c r="F52" s="11">
        <f>$J$2*C52/250</f>
        <v/>
      </c>
      <c r="G52">
        <f>IF(D52&gt;=F52,"rouge",IF(D52&gt;=E52,"jaune","vert"))</f>
        <v/>
      </c>
    </row>
    <row r="53">
      <c r="A53" t="n">
        <v>2009</v>
      </c>
      <c r="B53" t="inlineStr">
        <is>
          <t>student</t>
        </is>
      </c>
      <c r="C53" t="n">
        <v>251</v>
      </c>
      <c r="D53" t="n">
        <v>0</v>
      </c>
      <c r="E53" s="11">
        <f>$J$1*C53/250</f>
        <v/>
      </c>
      <c r="F53" s="11">
        <f>$J$2*C53/250</f>
        <v/>
      </c>
      <c r="G53">
        <f>IF(D53&gt;=F53,"rouge",IF(D53&gt;=E53,"jaune","vert"))</f>
        <v/>
      </c>
    </row>
    <row r="54">
      <c r="A54" t="n">
        <v>2010</v>
      </c>
      <c r="B54" t="inlineStr">
        <is>
          <t>student</t>
        </is>
      </c>
      <c r="C54" t="n">
        <v>251</v>
      </c>
      <c r="D54" t="n">
        <v>0</v>
      </c>
      <c r="E54" s="11">
        <f>$J$1*C54/250</f>
        <v/>
      </c>
      <c r="F54" s="11">
        <f>$J$2*C54/250</f>
        <v/>
      </c>
      <c r="G54">
        <f>IF(D54&gt;=F54,"rouge",IF(D54&gt;=E54,"jaune","vert"))</f>
        <v/>
      </c>
    </row>
    <row r="55">
      <c r="A55" t="n">
        <v>2011</v>
      </c>
      <c r="B55" t="inlineStr">
        <is>
          <t>student</t>
        </is>
      </c>
      <c r="C55" t="n">
        <v>250</v>
      </c>
      <c r="D55" t="n">
        <v>3</v>
      </c>
      <c r="E55" s="11">
        <f>$J$1*C55/250</f>
        <v/>
      </c>
      <c r="F55" s="11">
        <f>$J$2*C55/250</f>
        <v/>
      </c>
      <c r="G55">
        <f>IF(D55&gt;=F55,"rouge",IF(D55&gt;=E55,"jaune","vert"))</f>
        <v/>
      </c>
    </row>
    <row r="56">
      <c r="A56" t="n">
        <v>2012</v>
      </c>
      <c r="B56" t="inlineStr">
        <is>
          <t>student</t>
        </is>
      </c>
      <c r="C56" t="n">
        <v>251</v>
      </c>
      <c r="D56" t="n">
        <v>0</v>
      </c>
      <c r="E56" s="11">
        <f>$J$1*C56/250</f>
        <v/>
      </c>
      <c r="F56" s="11">
        <f>$J$2*C56/250</f>
        <v/>
      </c>
      <c r="G56">
        <f>IF(D56&gt;=F56,"rouge",IF(D56&gt;=E56,"jaune","vert"))</f>
        <v/>
      </c>
    </row>
    <row r="57">
      <c r="A57" t="n">
        <v>2013</v>
      </c>
      <c r="B57" t="inlineStr">
        <is>
          <t>student</t>
        </is>
      </c>
      <c r="C57" t="n">
        <v>251</v>
      </c>
      <c r="D57" t="n">
        <v>1</v>
      </c>
      <c r="E57" s="11">
        <f>$J$1*C57/250</f>
        <v/>
      </c>
      <c r="F57" s="11">
        <f>$J$2*C57/250</f>
        <v/>
      </c>
      <c r="G57">
        <f>IF(D57&gt;=F57,"rouge",IF(D57&gt;=E57,"jaune","vert"))</f>
        <v/>
      </c>
    </row>
    <row r="58">
      <c r="A58" t="n">
        <v>2014</v>
      </c>
      <c r="B58" t="inlineStr">
        <is>
          <t>student</t>
        </is>
      </c>
      <c r="C58" t="n">
        <v>251</v>
      </c>
      <c r="D58" t="n">
        <v>6</v>
      </c>
      <c r="E58" s="11">
        <f>$J$1*C58/250</f>
        <v/>
      </c>
      <c r="F58" s="11">
        <f>$J$2*C58/250</f>
        <v/>
      </c>
      <c r="G58">
        <f>IF(D58&gt;=F58,"rouge",IF(D58&gt;=E58,"jaune","vert"))</f>
        <v/>
      </c>
    </row>
    <row r="59">
      <c r="A59" t="n">
        <v>2015</v>
      </c>
      <c r="B59" t="inlineStr">
        <is>
          <t>student</t>
        </is>
      </c>
      <c r="C59" t="n">
        <v>251</v>
      </c>
      <c r="D59" t="n">
        <v>7</v>
      </c>
      <c r="E59" s="11">
        <f>$J$1*C59/250</f>
        <v/>
      </c>
      <c r="F59" s="11">
        <f>$J$2*C59/250</f>
        <v/>
      </c>
      <c r="G59">
        <f>IF(D59&gt;=F59,"rouge",IF(D59&gt;=E59,"jaune","vert"))</f>
        <v/>
      </c>
    </row>
    <row r="60">
      <c r="A60" t="n">
        <v>2016</v>
      </c>
      <c r="B60" t="inlineStr">
        <is>
          <t>student</t>
        </is>
      </c>
      <c r="C60" t="n">
        <v>251</v>
      </c>
      <c r="D60" t="n">
        <v>0</v>
      </c>
      <c r="E60" s="11">
        <f>$J$1*C60/250</f>
        <v/>
      </c>
      <c r="F60" s="11">
        <f>$J$2*C60/250</f>
        <v/>
      </c>
      <c r="G60">
        <f>IF(D60&gt;=F60,"rouge",IF(D60&gt;=E60,"jaune","vert"))</f>
        <v/>
      </c>
    </row>
    <row r="61">
      <c r="A61" t="n">
        <v>2017</v>
      </c>
      <c r="B61" t="inlineStr">
        <is>
          <t>student</t>
        </is>
      </c>
      <c r="C61" t="n">
        <v>250</v>
      </c>
      <c r="D61" t="n">
        <v>0</v>
      </c>
      <c r="E61" s="11">
        <f>$J$1*C61/250</f>
        <v/>
      </c>
      <c r="F61" s="11">
        <f>$J$2*C61/250</f>
        <v/>
      </c>
      <c r="G61">
        <f>IF(D61&gt;=F61,"rouge",IF(D61&gt;=E61,"jaune","vert"))</f>
        <v/>
      </c>
    </row>
    <row r="62">
      <c r="A62" t="n">
        <v>2018</v>
      </c>
      <c r="B62" t="inlineStr">
        <is>
          <t>student</t>
        </is>
      </c>
      <c r="C62" t="n">
        <v>251</v>
      </c>
      <c r="D62" t="n">
        <v>7</v>
      </c>
      <c r="E62" s="11">
        <f>$J$1*C62/250</f>
        <v/>
      </c>
      <c r="F62" s="11">
        <f>$J$2*C62/250</f>
        <v/>
      </c>
      <c r="G62">
        <f>IF(D62&gt;=F62,"rouge",IF(D62&gt;=E62,"jaune","vert"))</f>
        <v/>
      </c>
    </row>
    <row r="63">
      <c r="A63" t="n">
        <v>2019</v>
      </c>
      <c r="B63" t="inlineStr">
        <is>
          <t>student</t>
        </is>
      </c>
      <c r="C63" t="n">
        <v>251</v>
      </c>
      <c r="D63" t="n">
        <v>1</v>
      </c>
      <c r="E63" s="11">
        <f>$J$1*C63/250</f>
        <v/>
      </c>
      <c r="F63" s="11">
        <f>$J$2*C63/250</f>
        <v/>
      </c>
      <c r="G63">
        <f>IF(D63&gt;=F63,"rouge",IF(D63&gt;=E63,"jaune","vert"))</f>
        <v/>
      </c>
    </row>
    <row r="64">
      <c r="A64" t="n">
        <v>2020</v>
      </c>
      <c r="B64" t="inlineStr">
        <is>
          <t>student</t>
        </is>
      </c>
      <c r="C64" t="n">
        <v>252</v>
      </c>
      <c r="D64" t="n">
        <v>13</v>
      </c>
      <c r="E64" s="11">
        <f>$J$1*C64/250</f>
        <v/>
      </c>
      <c r="F64" s="11">
        <f>$J$2*C64/250</f>
        <v/>
      </c>
      <c r="G64">
        <f>IF(D64&gt;=F64,"rouge",IF(D64&gt;=E64,"jaune","vert"))</f>
        <v/>
      </c>
    </row>
    <row r="65">
      <c r="A65" t="n">
        <v>2021</v>
      </c>
      <c r="B65" t="inlineStr">
        <is>
          <t>student</t>
        </is>
      </c>
      <c r="C65" t="n">
        <v>251</v>
      </c>
      <c r="D65" t="n">
        <v>0</v>
      </c>
      <c r="E65" s="11">
        <f>$J$1*C65/250</f>
        <v/>
      </c>
      <c r="F65" s="11">
        <f>$J$2*C65/250</f>
        <v/>
      </c>
      <c r="G65">
        <f>IF(D65&gt;=F65,"rouge",IF(D65&gt;=E65,"jaune","vert"))</f>
        <v/>
      </c>
    </row>
    <row r="66">
      <c r="A66" t="n">
        <v>2022</v>
      </c>
      <c r="B66" t="inlineStr">
        <is>
          <t>student</t>
        </is>
      </c>
      <c r="C66" t="n">
        <v>250</v>
      </c>
      <c r="D66" t="n">
        <v>8</v>
      </c>
      <c r="E66" s="11">
        <f>$J$1*C66/250</f>
        <v/>
      </c>
      <c r="F66" s="11">
        <f>$J$2*C66/250</f>
        <v/>
      </c>
      <c r="G66">
        <f>IF(D66&gt;=F66,"rouge",IF(D66&gt;=E66,"jaune","vert"))</f>
        <v/>
      </c>
    </row>
    <row r="67">
      <c r="A67" t="n">
        <v>2023</v>
      </c>
      <c r="B67" t="inlineStr">
        <is>
          <t>student</t>
        </is>
      </c>
      <c r="C67" t="n">
        <v>250</v>
      </c>
      <c r="D67" t="n">
        <v>0</v>
      </c>
      <c r="E67" s="11">
        <f>$J$1*C67/250</f>
        <v/>
      </c>
      <c r="F67" s="11">
        <f>$J$2*C67/250</f>
        <v/>
      </c>
      <c r="G67">
        <f>IF(D67&gt;=F67,"rouge",IF(D67&gt;=E67,"jaune","vert"))</f>
        <v/>
      </c>
    </row>
    <row r="68">
      <c r="A68" t="n">
        <v>2024</v>
      </c>
      <c r="B68" t="inlineStr">
        <is>
          <t>student</t>
        </is>
      </c>
      <c r="C68" t="n">
        <v>252</v>
      </c>
      <c r="D68" t="n">
        <v>1</v>
      </c>
      <c r="E68" s="11">
        <f>$J$1*C68/250</f>
        <v/>
      </c>
      <c r="F68" s="11">
        <f>$J$2*C68/250</f>
        <v/>
      </c>
      <c r="G68">
        <f>IF(D68&gt;=F68,"rouge",IF(D68&gt;=E68,"jaune","vert"))</f>
        <v/>
      </c>
    </row>
    <row r="69">
      <c r="A69" t="n">
        <v>2025</v>
      </c>
      <c r="B69" t="inlineStr">
        <is>
          <t>student</t>
        </is>
      </c>
      <c r="C69" t="n">
        <v>251</v>
      </c>
      <c r="D69" t="n">
        <v>6</v>
      </c>
      <c r="E69" s="11">
        <f>$J$1*C69/250</f>
        <v/>
      </c>
      <c r="F69" s="11">
        <f>$J$2*C69/250</f>
        <v/>
      </c>
      <c r="G69">
        <f>IF(D69&gt;=F69,"rouge",IF(D69&gt;=E69,"jaune","vert"))</f>
        <v/>
      </c>
    </row>
    <row r="70">
      <c r="A70" t="n">
        <v>2026</v>
      </c>
      <c r="B70" t="inlineStr">
        <is>
          <t>student</t>
        </is>
      </c>
      <c r="C70" t="n">
        <v>166</v>
      </c>
      <c r="D70" t="n">
        <v>0</v>
      </c>
      <c r="E70" s="11">
        <f>$J$1*C70/250</f>
        <v/>
      </c>
      <c r="F70" s="11">
        <f>$J$2*C70/250</f>
        <v/>
      </c>
      <c r="G70">
        <f>IF(D70&gt;=F70,"rouge",IF(D70&gt;=E70,"jaune","vert"))</f>
        <v/>
      </c>
    </row>
    <row r="71">
      <c r="A71" t="n">
        <v>2004</v>
      </c>
      <c r="B71" t="inlineStr">
        <is>
          <t>ewma</t>
        </is>
      </c>
      <c r="C71" t="n">
        <v>39</v>
      </c>
      <c r="D71" t="n">
        <v>1</v>
      </c>
      <c r="E71" s="11">
        <f>$J$1*C71/250</f>
        <v/>
      </c>
      <c r="F71" s="11">
        <f>$J$2*C71/250</f>
        <v/>
      </c>
      <c r="G71">
        <f>IF(D71&gt;=F71,"rouge",IF(D71&gt;=E71,"jaune","vert"))</f>
        <v/>
      </c>
    </row>
    <row r="72">
      <c r="A72" t="n">
        <v>2005</v>
      </c>
      <c r="B72" t="inlineStr">
        <is>
          <t>ewma</t>
        </is>
      </c>
      <c r="C72" t="n">
        <v>251</v>
      </c>
      <c r="D72" t="n">
        <v>3</v>
      </c>
      <c r="E72" s="11">
        <f>$J$1*C72/250</f>
        <v/>
      </c>
      <c r="F72" s="11">
        <f>$J$2*C72/250</f>
        <v/>
      </c>
      <c r="G72">
        <f>IF(D72&gt;=F72,"rouge",IF(D72&gt;=E72,"jaune","vert"))</f>
        <v/>
      </c>
    </row>
    <row r="73">
      <c r="A73" t="n">
        <v>2006</v>
      </c>
      <c r="B73" t="inlineStr">
        <is>
          <t>ewma</t>
        </is>
      </c>
      <c r="C73" t="n">
        <v>251</v>
      </c>
      <c r="D73" t="n">
        <v>4</v>
      </c>
      <c r="E73" s="11">
        <f>$J$1*C73/250</f>
        <v/>
      </c>
      <c r="F73" s="11">
        <f>$J$2*C73/250</f>
        <v/>
      </c>
      <c r="G73">
        <f>IF(D73&gt;=F73,"rouge",IF(D73&gt;=E73,"jaune","vert"))</f>
        <v/>
      </c>
    </row>
    <row r="74">
      <c r="A74" t="n">
        <v>2007</v>
      </c>
      <c r="B74" t="inlineStr">
        <is>
          <t>ewma</t>
        </is>
      </c>
      <c r="C74" t="n">
        <v>252</v>
      </c>
      <c r="D74" t="n">
        <v>7</v>
      </c>
      <c r="E74" s="11">
        <f>$J$1*C74/250</f>
        <v/>
      </c>
      <c r="F74" s="11">
        <f>$J$2*C74/250</f>
        <v/>
      </c>
      <c r="G74">
        <f>IF(D74&gt;=F74,"rouge",IF(D74&gt;=E74,"jaune","vert"))</f>
        <v/>
      </c>
    </row>
    <row r="75">
      <c r="A75" t="n">
        <v>2008</v>
      </c>
      <c r="B75" t="inlineStr">
        <is>
          <t>ewma</t>
        </is>
      </c>
      <c r="C75" t="n">
        <v>252</v>
      </c>
      <c r="D75" t="n">
        <v>9</v>
      </c>
      <c r="E75" s="11">
        <f>$J$1*C75/250</f>
        <v/>
      </c>
      <c r="F75" s="11">
        <f>$J$2*C75/250</f>
        <v/>
      </c>
      <c r="G75">
        <f>IF(D75&gt;=F75,"rouge",IF(D75&gt;=E75,"jaune","vert"))</f>
        <v/>
      </c>
    </row>
    <row r="76">
      <c r="A76" t="n">
        <v>2009</v>
      </c>
      <c r="B76" t="inlineStr">
        <is>
          <t>ewma</t>
        </is>
      </c>
      <c r="C76" t="n">
        <v>251</v>
      </c>
      <c r="D76" t="n">
        <v>2</v>
      </c>
      <c r="E76" s="11">
        <f>$J$1*C76/250</f>
        <v/>
      </c>
      <c r="F76" s="11">
        <f>$J$2*C76/250</f>
        <v/>
      </c>
      <c r="G76">
        <f>IF(D76&gt;=F76,"rouge",IF(D76&gt;=E76,"jaune","vert"))</f>
        <v/>
      </c>
    </row>
    <row r="77">
      <c r="A77" t="n">
        <v>2010</v>
      </c>
      <c r="B77" t="inlineStr">
        <is>
          <t>ewma</t>
        </is>
      </c>
      <c r="C77" t="n">
        <v>251</v>
      </c>
      <c r="D77" t="n">
        <v>9</v>
      </c>
      <c r="E77" s="11">
        <f>$J$1*C77/250</f>
        <v/>
      </c>
      <c r="F77" s="11">
        <f>$J$2*C77/250</f>
        <v/>
      </c>
      <c r="G77">
        <f>IF(D77&gt;=F77,"rouge",IF(D77&gt;=E77,"jaune","vert"))</f>
        <v/>
      </c>
    </row>
    <row r="78">
      <c r="A78" t="n">
        <v>2011</v>
      </c>
      <c r="B78" t="inlineStr">
        <is>
          <t>ewma</t>
        </is>
      </c>
      <c r="C78" t="n">
        <v>250</v>
      </c>
      <c r="D78" t="n">
        <v>7</v>
      </c>
      <c r="E78" s="11">
        <f>$J$1*C78/250</f>
        <v/>
      </c>
      <c r="F78" s="11">
        <f>$J$2*C78/250</f>
        <v/>
      </c>
      <c r="G78">
        <f>IF(D78&gt;=F78,"rouge",IF(D78&gt;=E78,"jaune","vert"))</f>
        <v/>
      </c>
    </row>
    <row r="79">
      <c r="A79" t="n">
        <v>2012</v>
      </c>
      <c r="B79" t="inlineStr">
        <is>
          <t>ewma</t>
        </is>
      </c>
      <c r="C79" t="n">
        <v>251</v>
      </c>
      <c r="D79" t="n">
        <v>3</v>
      </c>
      <c r="E79" s="11">
        <f>$J$1*C79/250</f>
        <v/>
      </c>
      <c r="F79" s="11">
        <f>$J$2*C79/250</f>
        <v/>
      </c>
      <c r="G79">
        <f>IF(D79&gt;=F79,"rouge",IF(D79&gt;=E79,"jaune","vert"))</f>
        <v/>
      </c>
    </row>
    <row r="80">
      <c r="A80" t="n">
        <v>2013</v>
      </c>
      <c r="B80" t="inlineStr">
        <is>
          <t>ewma</t>
        </is>
      </c>
      <c r="C80" t="n">
        <v>251</v>
      </c>
      <c r="D80" t="n">
        <v>5</v>
      </c>
      <c r="E80" s="11">
        <f>$J$1*C80/250</f>
        <v/>
      </c>
      <c r="F80" s="11">
        <f>$J$2*C80/250</f>
        <v/>
      </c>
      <c r="G80">
        <f>IF(D80&gt;=F80,"rouge",IF(D80&gt;=E80,"jaune","vert"))</f>
        <v/>
      </c>
    </row>
    <row r="81">
      <c r="A81" t="n">
        <v>2014</v>
      </c>
      <c r="B81" t="inlineStr">
        <is>
          <t>ewma</t>
        </is>
      </c>
      <c r="C81" t="n">
        <v>251</v>
      </c>
      <c r="D81" t="n">
        <v>8</v>
      </c>
      <c r="E81" s="11">
        <f>$J$1*C81/250</f>
        <v/>
      </c>
      <c r="F81" s="11">
        <f>$J$2*C81/250</f>
        <v/>
      </c>
      <c r="G81">
        <f>IF(D81&gt;=F81,"rouge",IF(D81&gt;=E81,"jaune","vert"))</f>
        <v/>
      </c>
    </row>
    <row r="82">
      <c r="A82" t="n">
        <v>2015</v>
      </c>
      <c r="B82" t="inlineStr">
        <is>
          <t>ewma</t>
        </is>
      </c>
      <c r="C82" t="n">
        <v>251</v>
      </c>
      <c r="D82" t="n">
        <v>5</v>
      </c>
      <c r="E82" s="11">
        <f>$J$1*C82/250</f>
        <v/>
      </c>
      <c r="F82" s="11">
        <f>$J$2*C82/250</f>
        <v/>
      </c>
      <c r="G82">
        <f>IF(D82&gt;=F82,"rouge",IF(D82&gt;=E82,"jaune","vert"))</f>
        <v/>
      </c>
    </row>
    <row r="83">
      <c r="A83" t="n">
        <v>2016</v>
      </c>
      <c r="B83" t="inlineStr">
        <is>
          <t>ewma</t>
        </is>
      </c>
      <c r="C83" t="n">
        <v>251</v>
      </c>
      <c r="D83" t="n">
        <v>5</v>
      </c>
      <c r="E83" s="11">
        <f>$J$1*C83/250</f>
        <v/>
      </c>
      <c r="F83" s="11">
        <f>$J$2*C83/250</f>
        <v/>
      </c>
      <c r="G83">
        <f>IF(D83&gt;=F83,"rouge",IF(D83&gt;=E83,"jaune","vert"))</f>
        <v/>
      </c>
    </row>
    <row r="84">
      <c r="A84" t="n">
        <v>2017</v>
      </c>
      <c r="B84" t="inlineStr">
        <is>
          <t>ewma</t>
        </is>
      </c>
      <c r="C84" t="n">
        <v>250</v>
      </c>
      <c r="D84" t="n">
        <v>3</v>
      </c>
      <c r="E84" s="11">
        <f>$J$1*C84/250</f>
        <v/>
      </c>
      <c r="F84" s="11">
        <f>$J$2*C84/250</f>
        <v/>
      </c>
      <c r="G84">
        <f>IF(D84&gt;=F84,"rouge",IF(D84&gt;=E84,"jaune","vert"))</f>
        <v/>
      </c>
    </row>
    <row r="85">
      <c r="A85" t="n">
        <v>2018</v>
      </c>
      <c r="B85" t="inlineStr">
        <is>
          <t>ewma</t>
        </is>
      </c>
      <c r="C85" t="n">
        <v>251</v>
      </c>
      <c r="D85" t="n">
        <v>9</v>
      </c>
      <c r="E85" s="11">
        <f>$J$1*C85/250</f>
        <v/>
      </c>
      <c r="F85" s="11">
        <f>$J$2*C85/250</f>
        <v/>
      </c>
      <c r="G85">
        <f>IF(D85&gt;=F85,"rouge",IF(D85&gt;=E85,"jaune","vert"))</f>
        <v/>
      </c>
    </row>
    <row r="86">
      <c r="A86" t="n">
        <v>2019</v>
      </c>
      <c r="B86" t="inlineStr">
        <is>
          <t>ewma</t>
        </is>
      </c>
      <c r="C86" t="n">
        <v>251</v>
      </c>
      <c r="D86" t="n">
        <v>6</v>
      </c>
      <c r="E86" s="11">
        <f>$J$1*C86/250</f>
        <v/>
      </c>
      <c r="F86" s="11">
        <f>$J$2*C86/250</f>
        <v/>
      </c>
      <c r="G86">
        <f>IF(D86&gt;=F86,"rouge",IF(D86&gt;=E86,"jaune","vert"))</f>
        <v/>
      </c>
    </row>
    <row r="87">
      <c r="A87" t="n">
        <v>2020</v>
      </c>
      <c r="B87" t="inlineStr">
        <is>
          <t>ewma</t>
        </is>
      </c>
      <c r="C87" t="n">
        <v>252</v>
      </c>
      <c r="D87" t="n">
        <v>11</v>
      </c>
      <c r="E87" s="11">
        <f>$J$1*C87/250</f>
        <v/>
      </c>
      <c r="F87" s="11">
        <f>$J$2*C87/250</f>
        <v/>
      </c>
      <c r="G87">
        <f>IF(D87&gt;=F87,"rouge",IF(D87&gt;=E87,"jaune","vert"))</f>
        <v/>
      </c>
    </row>
    <row r="88">
      <c r="A88" t="n">
        <v>2021</v>
      </c>
      <c r="B88" t="inlineStr">
        <is>
          <t>ewma</t>
        </is>
      </c>
      <c r="C88" t="n">
        <v>251</v>
      </c>
      <c r="D88" t="n">
        <v>9</v>
      </c>
      <c r="E88" s="11">
        <f>$J$1*C88/250</f>
        <v/>
      </c>
      <c r="F88" s="11">
        <f>$J$2*C88/250</f>
        <v/>
      </c>
      <c r="G88">
        <f>IF(D88&gt;=F88,"rouge",IF(D88&gt;=E88,"jaune","vert"))</f>
        <v/>
      </c>
    </row>
    <row r="89">
      <c r="A89" t="n">
        <v>2022</v>
      </c>
      <c r="B89" t="inlineStr">
        <is>
          <t>ewma</t>
        </is>
      </c>
      <c r="C89" t="n">
        <v>250</v>
      </c>
      <c r="D89" t="n">
        <v>5</v>
      </c>
      <c r="E89" s="11">
        <f>$J$1*C89/250</f>
        <v/>
      </c>
      <c r="F89" s="11">
        <f>$J$2*C89/250</f>
        <v/>
      </c>
      <c r="G89">
        <f>IF(D89&gt;=F89,"rouge",IF(D89&gt;=E89,"jaune","vert"))</f>
        <v/>
      </c>
    </row>
    <row r="90">
      <c r="A90" t="n">
        <v>2023</v>
      </c>
      <c r="B90" t="inlineStr">
        <is>
          <t>ewma</t>
        </is>
      </c>
      <c r="C90" t="n">
        <v>250</v>
      </c>
      <c r="D90" t="n">
        <v>4</v>
      </c>
      <c r="E90" s="11">
        <f>$J$1*C90/250</f>
        <v/>
      </c>
      <c r="F90" s="11">
        <f>$J$2*C90/250</f>
        <v/>
      </c>
      <c r="G90">
        <f>IF(D90&gt;=F90,"rouge",IF(D90&gt;=E90,"jaune","vert"))</f>
        <v/>
      </c>
    </row>
    <row r="91">
      <c r="A91" t="n">
        <v>2024</v>
      </c>
      <c r="B91" t="inlineStr">
        <is>
          <t>ewma</t>
        </is>
      </c>
      <c r="C91" t="n">
        <v>252</v>
      </c>
      <c r="D91" t="n">
        <v>4</v>
      </c>
      <c r="E91" s="11">
        <f>$J$1*C91/250</f>
        <v/>
      </c>
      <c r="F91" s="11">
        <f>$J$2*C91/250</f>
        <v/>
      </c>
      <c r="G91">
        <f>IF(D91&gt;=F91,"rouge",IF(D91&gt;=E91,"jaune","vert"))</f>
        <v/>
      </c>
    </row>
    <row r="92">
      <c r="A92" t="n">
        <v>2025</v>
      </c>
      <c r="B92" t="inlineStr">
        <is>
          <t>ewma</t>
        </is>
      </c>
      <c r="C92" t="n">
        <v>251</v>
      </c>
      <c r="D92" t="n">
        <v>5</v>
      </c>
      <c r="E92" s="11">
        <f>$J$1*C92/250</f>
        <v/>
      </c>
      <c r="F92" s="11">
        <f>$J$2*C92/250</f>
        <v/>
      </c>
      <c r="G92">
        <f>IF(D92&gt;=F92,"rouge",IF(D92&gt;=E92,"jaune","vert"))</f>
        <v/>
      </c>
    </row>
    <row r="93">
      <c r="A93" t="n">
        <v>2026</v>
      </c>
      <c r="B93" t="inlineStr">
        <is>
          <t>ewma</t>
        </is>
      </c>
      <c r="C93" t="n">
        <v>166</v>
      </c>
      <c r="D93" t="n">
        <v>4</v>
      </c>
      <c r="E93" s="11">
        <f>$J$1*C93/250</f>
        <v/>
      </c>
      <c r="F93" s="11">
        <f>$J$2*C93/250</f>
        <v/>
      </c>
      <c r="G93">
        <f>IF(D93&gt;=F93,"rouge",IF(D93&gt;=E93,"jaune","vert"))</f>
        <v/>
      </c>
    </row>
    <row r="94">
      <c r="A94" t="n">
        <v>2004</v>
      </c>
      <c r="B94" t="inlineStr">
        <is>
          <t>fhs</t>
        </is>
      </c>
      <c r="C94" t="n">
        <v>39</v>
      </c>
      <c r="D94" t="n">
        <v>1</v>
      </c>
      <c r="E94" s="11">
        <f>$J$1*C94/250</f>
        <v/>
      </c>
      <c r="F94" s="11">
        <f>$J$2*C94/250</f>
        <v/>
      </c>
      <c r="G94">
        <f>IF(D94&gt;=F94,"rouge",IF(D94&gt;=E94,"jaune","vert"))</f>
        <v/>
      </c>
    </row>
    <row r="95">
      <c r="A95" t="n">
        <v>2005</v>
      </c>
      <c r="B95" t="inlineStr">
        <is>
          <t>fhs</t>
        </is>
      </c>
      <c r="C95" t="n">
        <v>251</v>
      </c>
      <c r="D95" t="n">
        <v>3</v>
      </c>
      <c r="E95" s="11">
        <f>$J$1*C95/250</f>
        <v/>
      </c>
      <c r="F95" s="11">
        <f>$J$2*C95/250</f>
        <v/>
      </c>
      <c r="G95">
        <f>IF(D95&gt;=F95,"rouge",IF(D95&gt;=E95,"jaune","vert"))</f>
        <v/>
      </c>
    </row>
    <row r="96">
      <c r="A96" t="n">
        <v>2006</v>
      </c>
      <c r="B96" t="inlineStr">
        <is>
          <t>fhs</t>
        </is>
      </c>
      <c r="C96" t="n">
        <v>251</v>
      </c>
      <c r="D96" t="n">
        <v>2</v>
      </c>
      <c r="E96" s="11">
        <f>$J$1*C96/250</f>
        <v/>
      </c>
      <c r="F96" s="11">
        <f>$J$2*C96/250</f>
        <v/>
      </c>
      <c r="G96">
        <f>IF(D96&gt;=F96,"rouge",IF(D96&gt;=E96,"jaune","vert"))</f>
        <v/>
      </c>
    </row>
    <row r="97">
      <c r="A97" t="n">
        <v>2007</v>
      </c>
      <c r="B97" t="inlineStr">
        <is>
          <t>fhs</t>
        </is>
      </c>
      <c r="C97" t="n">
        <v>252</v>
      </c>
      <c r="D97" t="n">
        <v>5</v>
      </c>
      <c r="E97" s="11">
        <f>$J$1*C97/250</f>
        <v/>
      </c>
      <c r="F97" s="11">
        <f>$J$2*C97/250</f>
        <v/>
      </c>
      <c r="G97">
        <f>IF(D97&gt;=F97,"rouge",IF(D97&gt;=E97,"jaune","vert"))</f>
        <v/>
      </c>
    </row>
    <row r="98">
      <c r="A98" t="n">
        <v>2008</v>
      </c>
      <c r="B98" t="inlineStr">
        <is>
          <t>fhs</t>
        </is>
      </c>
      <c r="C98" t="n">
        <v>252</v>
      </c>
      <c r="D98" t="n">
        <v>6</v>
      </c>
      <c r="E98" s="11">
        <f>$J$1*C98/250</f>
        <v/>
      </c>
      <c r="F98" s="11">
        <f>$J$2*C98/250</f>
        <v/>
      </c>
      <c r="G98">
        <f>IF(D98&gt;=F98,"rouge",IF(D98&gt;=E98,"jaune","vert"))</f>
        <v/>
      </c>
    </row>
    <row r="99">
      <c r="A99" t="n">
        <v>2009</v>
      </c>
      <c r="B99" t="inlineStr">
        <is>
          <t>fhs</t>
        </is>
      </c>
      <c r="C99" t="n">
        <v>251</v>
      </c>
      <c r="D99" t="n">
        <v>0</v>
      </c>
      <c r="E99" s="11">
        <f>$J$1*C99/250</f>
        <v/>
      </c>
      <c r="F99" s="11">
        <f>$J$2*C99/250</f>
        <v/>
      </c>
      <c r="G99">
        <f>IF(D99&gt;=F99,"rouge",IF(D99&gt;=E99,"jaune","vert"))</f>
        <v/>
      </c>
    </row>
    <row r="100">
      <c r="A100" t="n">
        <v>2010</v>
      </c>
      <c r="B100" t="inlineStr">
        <is>
          <t>fhs</t>
        </is>
      </c>
      <c r="C100" t="n">
        <v>251</v>
      </c>
      <c r="D100" t="n">
        <v>4</v>
      </c>
      <c r="E100" s="11">
        <f>$J$1*C100/250</f>
        <v/>
      </c>
      <c r="F100" s="11">
        <f>$J$2*C100/250</f>
        <v/>
      </c>
      <c r="G100">
        <f>IF(D100&gt;=F100,"rouge",IF(D100&gt;=E100,"jaune","vert"))</f>
        <v/>
      </c>
    </row>
    <row r="101">
      <c r="A101" t="n">
        <v>2011</v>
      </c>
      <c r="B101" t="inlineStr">
        <is>
          <t>fhs</t>
        </is>
      </c>
      <c r="C101" t="n">
        <v>250</v>
      </c>
      <c r="D101" t="n">
        <v>5</v>
      </c>
      <c r="E101" s="11">
        <f>$J$1*C101/250</f>
        <v/>
      </c>
      <c r="F101" s="11">
        <f>$J$2*C101/250</f>
        <v/>
      </c>
      <c r="G101">
        <f>IF(D101&gt;=F101,"rouge",IF(D101&gt;=E101,"jaune","vert"))</f>
        <v/>
      </c>
    </row>
    <row r="102">
      <c r="A102" t="n">
        <v>2012</v>
      </c>
      <c r="B102" t="inlineStr">
        <is>
          <t>fhs</t>
        </is>
      </c>
      <c r="C102" t="n">
        <v>251</v>
      </c>
      <c r="D102" t="n">
        <v>1</v>
      </c>
      <c r="E102" s="11">
        <f>$J$1*C102/250</f>
        <v/>
      </c>
      <c r="F102" s="11">
        <f>$J$2*C102/250</f>
        <v/>
      </c>
      <c r="G102">
        <f>IF(D102&gt;=F102,"rouge",IF(D102&gt;=E102,"jaune","vert"))</f>
        <v/>
      </c>
    </row>
    <row r="103">
      <c r="A103" t="n">
        <v>2013</v>
      </c>
      <c r="B103" t="inlineStr">
        <is>
          <t>fhs</t>
        </is>
      </c>
      <c r="C103" t="n">
        <v>251</v>
      </c>
      <c r="D103" t="n">
        <v>3</v>
      </c>
      <c r="E103" s="11">
        <f>$J$1*C103/250</f>
        <v/>
      </c>
      <c r="F103" s="11">
        <f>$J$2*C103/250</f>
        <v/>
      </c>
      <c r="G103">
        <f>IF(D103&gt;=F103,"rouge",IF(D103&gt;=E103,"jaune","vert"))</f>
        <v/>
      </c>
    </row>
    <row r="104">
      <c r="A104" t="n">
        <v>2014</v>
      </c>
      <c r="B104" t="inlineStr">
        <is>
          <t>fhs</t>
        </is>
      </c>
      <c r="C104" t="n">
        <v>251</v>
      </c>
      <c r="D104" t="n">
        <v>5</v>
      </c>
      <c r="E104" s="11">
        <f>$J$1*C104/250</f>
        <v/>
      </c>
      <c r="F104" s="11">
        <f>$J$2*C104/250</f>
        <v/>
      </c>
      <c r="G104">
        <f>IF(D104&gt;=F104,"rouge",IF(D104&gt;=E104,"jaune","vert"))</f>
        <v/>
      </c>
    </row>
    <row r="105">
      <c r="A105" t="n">
        <v>2015</v>
      </c>
      <c r="B105" t="inlineStr">
        <is>
          <t>fhs</t>
        </is>
      </c>
      <c r="C105" t="n">
        <v>251</v>
      </c>
      <c r="D105" t="n">
        <v>4</v>
      </c>
      <c r="E105" s="11">
        <f>$J$1*C105/250</f>
        <v/>
      </c>
      <c r="F105" s="11">
        <f>$J$2*C105/250</f>
        <v/>
      </c>
      <c r="G105">
        <f>IF(D105&gt;=F105,"rouge",IF(D105&gt;=E105,"jaune","vert"))</f>
        <v/>
      </c>
    </row>
    <row r="106">
      <c r="A106" t="n">
        <v>2016</v>
      </c>
      <c r="B106" t="inlineStr">
        <is>
          <t>fhs</t>
        </is>
      </c>
      <c r="C106" t="n">
        <v>251</v>
      </c>
      <c r="D106" t="n">
        <v>2</v>
      </c>
      <c r="E106" s="11">
        <f>$J$1*C106/250</f>
        <v/>
      </c>
      <c r="F106" s="11">
        <f>$J$2*C106/250</f>
        <v/>
      </c>
      <c r="G106">
        <f>IF(D106&gt;=F106,"rouge",IF(D106&gt;=E106,"jaune","vert"))</f>
        <v/>
      </c>
    </row>
    <row r="107">
      <c r="A107" t="n">
        <v>2017</v>
      </c>
      <c r="B107" t="inlineStr">
        <is>
          <t>fhs</t>
        </is>
      </c>
      <c r="C107" t="n">
        <v>250</v>
      </c>
      <c r="D107" t="n">
        <v>2</v>
      </c>
      <c r="E107" s="11">
        <f>$J$1*C107/250</f>
        <v/>
      </c>
      <c r="F107" s="11">
        <f>$J$2*C107/250</f>
        <v/>
      </c>
      <c r="G107">
        <f>IF(D107&gt;=F107,"rouge",IF(D107&gt;=E107,"jaune","vert"))</f>
        <v/>
      </c>
    </row>
    <row r="108">
      <c r="A108" t="n">
        <v>2018</v>
      </c>
      <c r="B108" t="inlineStr">
        <is>
          <t>fhs</t>
        </is>
      </c>
      <c r="C108" t="n">
        <v>251</v>
      </c>
      <c r="D108" t="n">
        <v>4</v>
      </c>
      <c r="E108" s="11">
        <f>$J$1*C108/250</f>
        <v/>
      </c>
      <c r="F108" s="11">
        <f>$J$2*C108/250</f>
        <v/>
      </c>
      <c r="G108">
        <f>IF(D108&gt;=F108,"rouge",IF(D108&gt;=E108,"jaune","vert"))</f>
        <v/>
      </c>
    </row>
    <row r="109">
      <c r="A109" t="n">
        <v>2019</v>
      </c>
      <c r="B109" t="inlineStr">
        <is>
          <t>fhs</t>
        </is>
      </c>
      <c r="C109" t="n">
        <v>251</v>
      </c>
      <c r="D109" t="n">
        <v>1</v>
      </c>
      <c r="E109" s="11">
        <f>$J$1*C109/250</f>
        <v/>
      </c>
      <c r="F109" s="11">
        <f>$J$2*C109/250</f>
        <v/>
      </c>
      <c r="G109">
        <f>IF(D109&gt;=F109,"rouge",IF(D109&gt;=E109,"jaune","vert"))</f>
        <v/>
      </c>
    </row>
    <row r="110">
      <c r="A110" t="n">
        <v>2020</v>
      </c>
      <c r="B110" t="inlineStr">
        <is>
          <t>fhs</t>
        </is>
      </c>
      <c r="C110" t="n">
        <v>252</v>
      </c>
      <c r="D110" t="n">
        <v>6</v>
      </c>
      <c r="E110" s="11">
        <f>$J$1*C110/250</f>
        <v/>
      </c>
      <c r="F110" s="11">
        <f>$J$2*C110/250</f>
        <v/>
      </c>
      <c r="G110">
        <f>IF(D110&gt;=F110,"rouge",IF(D110&gt;=E110,"jaune","vert"))</f>
        <v/>
      </c>
    </row>
    <row r="111">
      <c r="A111" t="n">
        <v>2021</v>
      </c>
      <c r="B111" t="inlineStr">
        <is>
          <t>fhs</t>
        </is>
      </c>
      <c r="C111" t="n">
        <v>251</v>
      </c>
      <c r="D111" t="n">
        <v>2</v>
      </c>
      <c r="E111" s="11">
        <f>$J$1*C111/250</f>
        <v/>
      </c>
      <c r="F111" s="11">
        <f>$J$2*C111/250</f>
        <v/>
      </c>
      <c r="G111">
        <f>IF(D111&gt;=F111,"rouge",IF(D111&gt;=E111,"jaune","vert"))</f>
        <v/>
      </c>
    </row>
    <row r="112">
      <c r="A112" t="n">
        <v>2022</v>
      </c>
      <c r="B112" t="inlineStr">
        <is>
          <t>fhs</t>
        </is>
      </c>
      <c r="C112" t="n">
        <v>250</v>
      </c>
      <c r="D112" t="n">
        <v>1</v>
      </c>
      <c r="E112" s="11">
        <f>$J$1*C112/250</f>
        <v/>
      </c>
      <c r="F112" s="11">
        <f>$J$2*C112/250</f>
        <v/>
      </c>
      <c r="G112">
        <f>IF(D112&gt;=F112,"rouge",IF(D112&gt;=E112,"jaune","vert"))</f>
        <v/>
      </c>
    </row>
    <row r="113">
      <c r="A113" t="n">
        <v>2023</v>
      </c>
      <c r="B113" t="inlineStr">
        <is>
          <t>fhs</t>
        </is>
      </c>
      <c r="C113" t="n">
        <v>250</v>
      </c>
      <c r="D113" t="n">
        <v>3</v>
      </c>
      <c r="E113" s="11">
        <f>$J$1*C113/250</f>
        <v/>
      </c>
      <c r="F113" s="11">
        <f>$J$2*C113/250</f>
        <v/>
      </c>
      <c r="G113">
        <f>IF(D113&gt;=F113,"rouge",IF(D113&gt;=E113,"jaune","vert"))</f>
        <v/>
      </c>
    </row>
    <row r="114">
      <c r="A114" t="n">
        <v>2024</v>
      </c>
      <c r="B114" t="inlineStr">
        <is>
          <t>fhs</t>
        </is>
      </c>
      <c r="C114" t="n">
        <v>252</v>
      </c>
      <c r="D114" t="n">
        <v>3</v>
      </c>
      <c r="E114" s="11">
        <f>$J$1*C114/250</f>
        <v/>
      </c>
      <c r="F114" s="11">
        <f>$J$2*C114/250</f>
        <v/>
      </c>
      <c r="G114">
        <f>IF(D114&gt;=F114,"rouge",IF(D114&gt;=E114,"jaune","vert"))</f>
        <v/>
      </c>
    </row>
    <row r="115">
      <c r="A115" t="n">
        <v>2025</v>
      </c>
      <c r="B115" t="inlineStr">
        <is>
          <t>fhs</t>
        </is>
      </c>
      <c r="C115" t="n">
        <v>251</v>
      </c>
      <c r="D115" t="n">
        <v>4</v>
      </c>
      <c r="E115" s="11">
        <f>$J$1*C115/250</f>
        <v/>
      </c>
      <c r="F115" s="11">
        <f>$J$2*C115/250</f>
        <v/>
      </c>
      <c r="G115">
        <f>IF(D115&gt;=F115,"rouge",IF(D115&gt;=E115,"jaune","vert"))</f>
        <v/>
      </c>
    </row>
    <row r="116">
      <c r="A116" t="n">
        <v>2026</v>
      </c>
      <c r="B116" t="inlineStr">
        <is>
          <t>fhs</t>
        </is>
      </c>
      <c r="C116" t="n">
        <v>166</v>
      </c>
      <c r="D116" t="n">
        <v>2</v>
      </c>
      <c r="E116" s="11">
        <f>$J$1*C116/250</f>
        <v/>
      </c>
      <c r="F116" s="11">
        <f>$J$2*C116/250</f>
        <v/>
      </c>
      <c r="G116">
        <f>IF(D116&gt;=F116,"rouge",IF(D116&gt;=E116,"jaune","vert"))</f>
        <v/>
      </c>
    </row>
    <row r="117">
      <c r="A117" t="n">
        <v>2004</v>
      </c>
      <c r="B117" t="inlineStr">
        <is>
          <t>garch</t>
        </is>
      </c>
      <c r="C117" t="n">
        <v>39</v>
      </c>
      <c r="D117" t="n">
        <v>1</v>
      </c>
      <c r="E117" s="11">
        <f>$J$1*C117/250</f>
        <v/>
      </c>
      <c r="F117" s="11">
        <f>$J$2*C117/250</f>
        <v/>
      </c>
      <c r="G117">
        <f>IF(D117&gt;=F117,"rouge",IF(D117&gt;=E117,"jaune","vert"))</f>
        <v/>
      </c>
    </row>
    <row r="118">
      <c r="A118" t="n">
        <v>2005</v>
      </c>
      <c r="B118" t="inlineStr">
        <is>
          <t>garch</t>
        </is>
      </c>
      <c r="C118" t="n">
        <v>251</v>
      </c>
      <c r="D118" t="n">
        <v>3</v>
      </c>
      <c r="E118" s="11">
        <f>$J$1*C118/250</f>
        <v/>
      </c>
      <c r="F118" s="11">
        <f>$J$2*C118/250</f>
        <v/>
      </c>
      <c r="G118">
        <f>IF(D118&gt;=F118,"rouge",IF(D118&gt;=E118,"jaune","vert"))</f>
        <v/>
      </c>
    </row>
    <row r="119">
      <c r="A119" t="n">
        <v>2006</v>
      </c>
      <c r="B119" t="inlineStr">
        <is>
          <t>garch</t>
        </is>
      </c>
      <c r="C119" t="n">
        <v>251</v>
      </c>
      <c r="D119" t="n">
        <v>4</v>
      </c>
      <c r="E119" s="11">
        <f>$J$1*C119/250</f>
        <v/>
      </c>
      <c r="F119" s="11">
        <f>$J$2*C119/250</f>
        <v/>
      </c>
      <c r="G119">
        <f>IF(D119&gt;=F119,"rouge",IF(D119&gt;=E119,"jaune","vert"))</f>
        <v/>
      </c>
    </row>
    <row r="120">
      <c r="A120" t="n">
        <v>2007</v>
      </c>
      <c r="B120" t="inlineStr">
        <is>
          <t>garch</t>
        </is>
      </c>
      <c r="C120" t="n">
        <v>252</v>
      </c>
      <c r="D120" t="n">
        <v>10</v>
      </c>
      <c r="E120" s="11">
        <f>$J$1*C120/250</f>
        <v/>
      </c>
      <c r="F120" s="11">
        <f>$J$2*C120/250</f>
        <v/>
      </c>
      <c r="G120">
        <f>IF(D120&gt;=F120,"rouge",IF(D120&gt;=E120,"jaune","vert"))</f>
        <v/>
      </c>
    </row>
    <row r="121">
      <c r="A121" t="n">
        <v>2008</v>
      </c>
      <c r="B121" t="inlineStr">
        <is>
          <t>garch</t>
        </is>
      </c>
      <c r="C121" t="n">
        <v>252</v>
      </c>
      <c r="D121" t="n">
        <v>11</v>
      </c>
      <c r="E121" s="11">
        <f>$J$1*C121/250</f>
        <v/>
      </c>
      <c r="F121" s="11">
        <f>$J$2*C121/250</f>
        <v/>
      </c>
      <c r="G121">
        <f>IF(D121&gt;=F121,"rouge",IF(D121&gt;=E121,"jaune","vert"))</f>
        <v/>
      </c>
    </row>
    <row r="122">
      <c r="A122" t="n">
        <v>2009</v>
      </c>
      <c r="B122" t="inlineStr">
        <is>
          <t>garch</t>
        </is>
      </c>
      <c r="C122" t="n">
        <v>251</v>
      </c>
      <c r="D122" t="n">
        <v>4</v>
      </c>
      <c r="E122" s="11">
        <f>$J$1*C122/250</f>
        <v/>
      </c>
      <c r="F122" s="11">
        <f>$J$2*C122/250</f>
        <v/>
      </c>
      <c r="G122">
        <f>IF(D122&gt;=F122,"rouge",IF(D122&gt;=E122,"jaune","vert"))</f>
        <v/>
      </c>
    </row>
    <row r="123">
      <c r="A123" t="n">
        <v>2010</v>
      </c>
      <c r="B123" t="inlineStr">
        <is>
          <t>garch</t>
        </is>
      </c>
      <c r="C123" t="n">
        <v>251</v>
      </c>
      <c r="D123" t="n">
        <v>6</v>
      </c>
      <c r="E123" s="11">
        <f>$J$1*C123/250</f>
        <v/>
      </c>
      <c r="F123" s="11">
        <f>$J$2*C123/250</f>
        <v/>
      </c>
      <c r="G123">
        <f>IF(D123&gt;=F123,"rouge",IF(D123&gt;=E123,"jaune","vert"))</f>
        <v/>
      </c>
    </row>
    <row r="124">
      <c r="A124" t="n">
        <v>2011</v>
      </c>
      <c r="B124" t="inlineStr">
        <is>
          <t>garch</t>
        </is>
      </c>
      <c r="C124" t="n">
        <v>250</v>
      </c>
      <c r="D124" t="n">
        <v>7</v>
      </c>
      <c r="E124" s="11">
        <f>$J$1*C124/250</f>
        <v/>
      </c>
      <c r="F124" s="11">
        <f>$J$2*C124/250</f>
        <v/>
      </c>
      <c r="G124">
        <f>IF(D124&gt;=F124,"rouge",IF(D124&gt;=E124,"jaune","vert"))</f>
        <v/>
      </c>
    </row>
    <row r="125">
      <c r="A125" t="n">
        <v>2012</v>
      </c>
      <c r="B125" t="inlineStr">
        <is>
          <t>garch</t>
        </is>
      </c>
      <c r="C125" t="n">
        <v>251</v>
      </c>
      <c r="D125" t="n">
        <v>2</v>
      </c>
      <c r="E125" s="11">
        <f>$J$1*C125/250</f>
        <v/>
      </c>
      <c r="F125" s="11">
        <f>$J$2*C125/250</f>
        <v/>
      </c>
      <c r="G125">
        <f>IF(D125&gt;=F125,"rouge",IF(D125&gt;=E125,"jaune","vert"))</f>
        <v/>
      </c>
    </row>
    <row r="126">
      <c r="A126" t="n">
        <v>2013</v>
      </c>
      <c r="B126" t="inlineStr">
        <is>
          <t>garch</t>
        </is>
      </c>
      <c r="C126" t="n">
        <v>251</v>
      </c>
      <c r="D126" t="n">
        <v>3</v>
      </c>
      <c r="E126" s="11">
        <f>$J$1*C126/250</f>
        <v/>
      </c>
      <c r="F126" s="11">
        <f>$J$2*C126/250</f>
        <v/>
      </c>
      <c r="G126">
        <f>IF(D126&gt;=F126,"rouge",IF(D126&gt;=E126,"jaune","vert"))</f>
        <v/>
      </c>
    </row>
    <row r="127">
      <c r="A127" t="n">
        <v>2014</v>
      </c>
      <c r="B127" t="inlineStr">
        <is>
          <t>garch</t>
        </is>
      </c>
      <c r="C127" t="n">
        <v>251</v>
      </c>
      <c r="D127" t="n">
        <v>6</v>
      </c>
      <c r="E127" s="11">
        <f>$J$1*C127/250</f>
        <v/>
      </c>
      <c r="F127" s="11">
        <f>$J$2*C127/250</f>
        <v/>
      </c>
      <c r="G127">
        <f>IF(D127&gt;=F127,"rouge",IF(D127&gt;=E127,"jaune","vert"))</f>
        <v/>
      </c>
    </row>
    <row r="128">
      <c r="A128" t="n">
        <v>2015</v>
      </c>
      <c r="B128" t="inlineStr">
        <is>
          <t>garch</t>
        </is>
      </c>
      <c r="C128" t="n">
        <v>251</v>
      </c>
      <c r="D128" t="n">
        <v>9</v>
      </c>
      <c r="E128" s="11">
        <f>$J$1*C128/250</f>
        <v/>
      </c>
      <c r="F128" s="11">
        <f>$J$2*C128/250</f>
        <v/>
      </c>
      <c r="G128">
        <f>IF(D128&gt;=F128,"rouge",IF(D128&gt;=E128,"jaune","vert"))</f>
        <v/>
      </c>
    </row>
    <row r="129">
      <c r="A129" t="n">
        <v>2016</v>
      </c>
      <c r="B129" t="inlineStr">
        <is>
          <t>garch</t>
        </is>
      </c>
      <c r="C129" t="n">
        <v>251</v>
      </c>
      <c r="D129" t="n">
        <v>4</v>
      </c>
      <c r="E129" s="11">
        <f>$J$1*C129/250</f>
        <v/>
      </c>
      <c r="F129" s="11">
        <f>$J$2*C129/250</f>
        <v/>
      </c>
      <c r="G129">
        <f>IF(D129&gt;=F129,"rouge",IF(D129&gt;=E129,"jaune","vert"))</f>
        <v/>
      </c>
    </row>
    <row r="130">
      <c r="A130" t="n">
        <v>2017</v>
      </c>
      <c r="B130" t="inlineStr">
        <is>
          <t>garch</t>
        </is>
      </c>
      <c r="C130" t="n">
        <v>250</v>
      </c>
      <c r="D130" t="n">
        <v>2</v>
      </c>
      <c r="E130" s="11">
        <f>$J$1*C130/250</f>
        <v/>
      </c>
      <c r="F130" s="11">
        <f>$J$2*C130/250</f>
        <v/>
      </c>
      <c r="G130">
        <f>IF(D130&gt;=F130,"rouge",IF(D130&gt;=E130,"jaune","vert"))</f>
        <v/>
      </c>
    </row>
    <row r="131">
      <c r="A131" t="n">
        <v>2018</v>
      </c>
      <c r="B131" t="inlineStr">
        <is>
          <t>garch</t>
        </is>
      </c>
      <c r="C131" t="n">
        <v>251</v>
      </c>
      <c r="D131" t="n">
        <v>10</v>
      </c>
      <c r="E131" s="11">
        <f>$J$1*C131/250</f>
        <v/>
      </c>
      <c r="F131" s="11">
        <f>$J$2*C131/250</f>
        <v/>
      </c>
      <c r="G131">
        <f>IF(D131&gt;=F131,"rouge",IF(D131&gt;=E131,"jaune","vert"))</f>
        <v/>
      </c>
    </row>
    <row r="132">
      <c r="A132" t="n">
        <v>2019</v>
      </c>
      <c r="B132" t="inlineStr">
        <is>
          <t>garch</t>
        </is>
      </c>
      <c r="C132" t="n">
        <v>251</v>
      </c>
      <c r="D132" t="n">
        <v>4</v>
      </c>
      <c r="E132" s="11">
        <f>$J$1*C132/250</f>
        <v/>
      </c>
      <c r="F132" s="11">
        <f>$J$2*C132/250</f>
        <v/>
      </c>
      <c r="G132">
        <f>IF(D132&gt;=F132,"rouge",IF(D132&gt;=E132,"jaune","vert"))</f>
        <v/>
      </c>
    </row>
    <row r="133">
      <c r="A133" t="n">
        <v>2020</v>
      </c>
      <c r="B133" t="inlineStr">
        <is>
          <t>garch</t>
        </is>
      </c>
      <c r="C133" t="n">
        <v>252</v>
      </c>
      <c r="D133" t="n">
        <v>11</v>
      </c>
      <c r="E133" s="11">
        <f>$J$1*C133/250</f>
        <v/>
      </c>
      <c r="F133" s="11">
        <f>$J$2*C133/250</f>
        <v/>
      </c>
      <c r="G133">
        <f>IF(D133&gt;=F133,"rouge",IF(D133&gt;=E133,"jaune","vert"))</f>
        <v/>
      </c>
    </row>
    <row r="134">
      <c r="A134" t="n">
        <v>2021</v>
      </c>
      <c r="B134" t="inlineStr">
        <is>
          <t>garch</t>
        </is>
      </c>
      <c r="C134" t="n">
        <v>251</v>
      </c>
      <c r="D134" t="n">
        <v>4</v>
      </c>
      <c r="E134" s="11">
        <f>$J$1*C134/250</f>
        <v/>
      </c>
      <c r="F134" s="11">
        <f>$J$2*C134/250</f>
        <v/>
      </c>
      <c r="G134">
        <f>IF(D134&gt;=F134,"rouge",IF(D134&gt;=E134,"jaune","vert"))</f>
        <v/>
      </c>
    </row>
    <row r="135">
      <c r="A135" t="n">
        <v>2022</v>
      </c>
      <c r="B135" t="inlineStr">
        <is>
          <t>garch</t>
        </is>
      </c>
      <c r="C135" t="n">
        <v>250</v>
      </c>
      <c r="D135" t="n">
        <v>5</v>
      </c>
      <c r="E135" s="11">
        <f>$J$1*C135/250</f>
        <v/>
      </c>
      <c r="F135" s="11">
        <f>$J$2*C135/250</f>
        <v/>
      </c>
      <c r="G135">
        <f>IF(D135&gt;=F135,"rouge",IF(D135&gt;=E135,"jaune","vert"))</f>
        <v/>
      </c>
    </row>
    <row r="136">
      <c r="A136" t="n">
        <v>2023</v>
      </c>
      <c r="B136" t="inlineStr">
        <is>
          <t>garch</t>
        </is>
      </c>
      <c r="C136" t="n">
        <v>250</v>
      </c>
      <c r="D136" t="n">
        <v>4</v>
      </c>
      <c r="E136" s="11">
        <f>$J$1*C136/250</f>
        <v/>
      </c>
      <c r="F136" s="11">
        <f>$J$2*C136/250</f>
        <v/>
      </c>
      <c r="G136">
        <f>IF(D136&gt;=F136,"rouge",IF(D136&gt;=E136,"jaune","vert"))</f>
        <v/>
      </c>
    </row>
    <row r="137">
      <c r="A137" t="n">
        <v>2024</v>
      </c>
      <c r="B137" t="inlineStr">
        <is>
          <t>garch</t>
        </is>
      </c>
      <c r="C137" t="n">
        <v>252</v>
      </c>
      <c r="D137" t="n">
        <v>2</v>
      </c>
      <c r="E137" s="11">
        <f>$J$1*C137/250</f>
        <v/>
      </c>
      <c r="F137" s="11">
        <f>$J$2*C137/250</f>
        <v/>
      </c>
      <c r="G137">
        <f>IF(D137&gt;=F137,"rouge",IF(D137&gt;=E137,"jaune","vert"))</f>
        <v/>
      </c>
    </row>
    <row r="138">
      <c r="A138" t="n">
        <v>2025</v>
      </c>
      <c r="B138" t="inlineStr">
        <is>
          <t>garch</t>
        </is>
      </c>
      <c r="C138" t="n">
        <v>251</v>
      </c>
      <c r="D138" t="n">
        <v>5</v>
      </c>
      <c r="E138" s="11">
        <f>$J$1*C138/250</f>
        <v/>
      </c>
      <c r="F138" s="11">
        <f>$J$2*C138/250</f>
        <v/>
      </c>
      <c r="G138">
        <f>IF(D138&gt;=F138,"rouge",IF(D138&gt;=E138,"jaune","vert"))</f>
        <v/>
      </c>
    </row>
    <row r="139">
      <c r="A139" t="n">
        <v>2026</v>
      </c>
      <c r="B139" t="inlineStr">
        <is>
          <t>garch</t>
        </is>
      </c>
      <c r="C139" t="n">
        <v>166</v>
      </c>
      <c r="D139" t="n">
        <v>4</v>
      </c>
      <c r="E139" s="11">
        <f>$J$1*C139/250</f>
        <v/>
      </c>
      <c r="F139" s="11">
        <f>$J$2*C139/250</f>
        <v/>
      </c>
      <c r="G139">
        <f>IF(D139&gt;=F139,"rouge",IF(D139&gt;=E139,"jaune","vert"))</f>
        <v/>
      </c>
    </row>
    <row r="141">
      <c r="A141" s="1" t="inlineStr">
        <is>
          <t>Comment lire cette feuille</t>
        </is>
      </c>
    </row>
    <row r="142">
      <c r="A142" s="2" t="inlineStr">
        <is>
          <t>Le régulateur compte les dépassements de chaque année et range l'année en vert, jaune ou rouge. Une année rouge coûte du capital en plus.</t>
        </is>
      </c>
    </row>
    <row r="143">
      <c r="A143" s="2" t="inlineStr">
        <is>
          <t>Les seuils de 5 et 10 valent pour 250 jours de bourse. Ils sont ici mis à l'échelle du nombre de jours réellement observés dans l'année, ce que la formule montre.</t>
        </is>
      </c>
    </row>
    <row r="144">
      <c r="A144" s="2" t="inlineStr">
        <is>
          <t>Changez les seuils en J1 et J2 pour voir combien d'années changent de couleur.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2026-08-30T17:53:54Z</dcterms:created>
  <dcterms:modified xmlns:dcterms="http://purl.org/dc/terms/" xmlns:xsi="http://www.w3.org/2001/XMLSchema-instance" xsi:type="dcterms:W3CDTF">2026-08-30T17:53:54Z</dcterms:modified>
</cp:coreProperties>
</file>